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ABAJO\Downloads\"/>
    </mc:Choice>
  </mc:AlternateContent>
  <bookViews>
    <workbookView xWindow="0" yWindow="0" windowWidth="28800" windowHeight="12435"/>
  </bookViews>
  <sheets>
    <sheet name="Reporte-Ventas-EvolucionPorClie" sheetId="1" r:id="rId1"/>
  </sheets>
  <definedNames>
    <definedName name="_xlnm._FilterDatabase" localSheetId="0" hidden="1">'Reporte-Ventas-EvolucionPorClie'!$A$1:$F$161</definedName>
    <definedName name="div_reportes" localSheetId="0">'Reporte-Ventas-EvolucionPorClie'!#REF!</definedName>
  </definedNames>
  <calcPr calcId="152511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</calcChain>
</file>

<file path=xl/sharedStrings.xml><?xml version="1.0" encoding="utf-8"?>
<sst xmlns="http://schemas.openxmlformats.org/spreadsheetml/2006/main" count="488" uniqueCount="327">
  <si>
    <t>N°</t>
  </si>
  <si>
    <t>CLIENTE Rut</t>
  </si>
  <si>
    <t>CLIENTE Razon Social</t>
  </si>
  <si>
    <t>CLIENTE Tipo</t>
  </si>
  <si>
    <t>Ene</t>
  </si>
  <si>
    <t>Feb</t>
  </si>
  <si>
    <t>76.297.003-1</t>
  </si>
  <si>
    <t>Motosierras Cordillera Spa</t>
  </si>
  <si>
    <t>Distribuidor</t>
  </si>
  <si>
    <t>76.721.161-9</t>
  </si>
  <si>
    <t>Comercial nuble Region Limitada</t>
  </si>
  <si>
    <t>76.168.470-1</t>
  </si>
  <si>
    <t>Comercial Imfolan Limitada</t>
  </si>
  <si>
    <t>78.095.472-8</t>
  </si>
  <si>
    <t>COMERCIAL MELLA SPA</t>
  </si>
  <si>
    <t>77.934.365-0</t>
  </si>
  <si>
    <t>Agrojardines Temuco Spa</t>
  </si>
  <si>
    <t>8.053.582-1</t>
  </si>
  <si>
    <t>Alejandro Evaristo Munoz Garrido</t>
  </si>
  <si>
    <t>76.422.479-5</t>
  </si>
  <si>
    <t>Servicio Tecnico, Ferreteria Industrial, Venta de Repuestos, Accesorios</t>
  </si>
  <si>
    <t>6.790.913-5</t>
  </si>
  <si>
    <t>Roberto Pedro Arratia Salgado</t>
  </si>
  <si>
    <t>14.069.845-8</t>
  </si>
  <si>
    <t>Cristian Adrian Uribe Beroiza</t>
  </si>
  <si>
    <t>77.759.408-7</t>
  </si>
  <si>
    <t>AGROYARD SPA</t>
  </si>
  <si>
    <t>12.827.696-3</t>
  </si>
  <si>
    <t>Nelson Alejandro Maulen Escalante</t>
  </si>
  <si>
    <t>76.402.113-4</t>
  </si>
  <si>
    <t>Rodaservis Venta De Productos Forestales Y Rodamientos Limitada</t>
  </si>
  <si>
    <t>78.270.053-7</t>
  </si>
  <si>
    <t>COMERCIAL Y REPUESTOS TRISAN LIMITADA</t>
  </si>
  <si>
    <t>78.120.869-8</t>
  </si>
  <si>
    <t>COMERCIALIZADORA BYB SPA</t>
  </si>
  <si>
    <t>78.253.041-0</t>
  </si>
  <si>
    <t>SOCIEDAD COMERCIAL CLN SPA</t>
  </si>
  <si>
    <t>77.135.223-5</t>
  </si>
  <si>
    <t>Sociedad de Reparaciones M&amp;C Spa</t>
  </si>
  <si>
    <t>76.628.296-2</t>
  </si>
  <si>
    <t>Comercializadora Paz Ltda</t>
  </si>
  <si>
    <t>16.843.578-9</t>
  </si>
  <si>
    <t>Eduardo Sebastian Urrutia Colicheo</t>
  </si>
  <si>
    <t>78.658.460-4</t>
  </si>
  <si>
    <t>Sociedad Comercial Vald y Compania Limitada</t>
  </si>
  <si>
    <t>76.489.142-2</t>
  </si>
  <si>
    <t>Blanco y Compania Limitada</t>
  </si>
  <si>
    <t>12.707.587-5</t>
  </si>
  <si>
    <t>Carlos Mauricio Sepulveda Lagos</t>
  </si>
  <si>
    <t>11.382.293-7</t>
  </si>
  <si>
    <t>Ricardo Enrique Quiroz Sagal</t>
  </si>
  <si>
    <t>77.436.705-5</t>
  </si>
  <si>
    <t>Inversiones Sepulveda Morales Spa</t>
  </si>
  <si>
    <t>77.037.508-8</t>
  </si>
  <si>
    <t>Lizamaq Spa</t>
  </si>
  <si>
    <t>77.911.141-5</t>
  </si>
  <si>
    <t>Comercializadora Sumak Spa</t>
  </si>
  <si>
    <t>10.252.408-K</t>
  </si>
  <si>
    <t>Hector Rodriguez oliva</t>
  </si>
  <si>
    <t>77.168.810-1</t>
  </si>
  <si>
    <t>Implementos Forestales Cabrero Ltda.</t>
  </si>
  <si>
    <t>78.075.043-K</t>
  </si>
  <si>
    <t>SERVI SOLUCIONES SPA</t>
  </si>
  <si>
    <t>10.878.628-0</t>
  </si>
  <si>
    <t>Enrique Antonio Cifuentes Salvo</t>
  </si>
  <si>
    <t>12.551.236-4</t>
  </si>
  <si>
    <t>Heraldo Enrique Contreras Pino</t>
  </si>
  <si>
    <t>11.820.339-9</t>
  </si>
  <si>
    <t>Luis Parada Tagle</t>
  </si>
  <si>
    <t>7.867.334-6</t>
  </si>
  <si>
    <t>Guadalupe del Carmen Nome Medina</t>
  </si>
  <si>
    <t>13.961.404-6</t>
  </si>
  <si>
    <t>FERNANDO ALARCON ALARCON</t>
  </si>
  <si>
    <t>9.364.597-9</t>
  </si>
  <si>
    <t>JOSE AGUSTIN SAGARDIA ORMENO</t>
  </si>
  <si>
    <t>77.615.748-1</t>
  </si>
  <si>
    <t>Mf Servicios Generales Reparacion y Mantencion, Ventas y Arriendo de Maquinarias Equipos e Insumos Spa</t>
  </si>
  <si>
    <t>77.533.222-0</t>
  </si>
  <si>
    <t>Casa oregon Spa</t>
  </si>
  <si>
    <t>76.809.401-2</t>
  </si>
  <si>
    <t>Ventas y Servicio Tecnico de Motosierras y Repuestos e Insumos Foresta</t>
  </si>
  <si>
    <t>76.576.453-K</t>
  </si>
  <si>
    <t>Delgado y Delgado Limitada</t>
  </si>
  <si>
    <t>7.181.360-6</t>
  </si>
  <si>
    <t>Julia Godoy Villalobos</t>
  </si>
  <si>
    <t>76.703.266-8</t>
  </si>
  <si>
    <t>Karen Pamela Medina Pena Comercial Agroforestal EIRL</t>
  </si>
  <si>
    <t>77.571.426-3</t>
  </si>
  <si>
    <t>FERDINAN SPA</t>
  </si>
  <si>
    <t>78.074.329-8</t>
  </si>
  <si>
    <t>MAQUINAS, REPUESTOS Y MANTENCIONES RIVERLI LIMITADA</t>
  </si>
  <si>
    <t>76.618.541-K</t>
  </si>
  <si>
    <t>Sociedad Motos Teo Limitada</t>
  </si>
  <si>
    <t>77.609.967-8</t>
  </si>
  <si>
    <t>Comercializadora Islas Spa</t>
  </si>
  <si>
    <t>16.205.650-6</t>
  </si>
  <si>
    <t>Tirzo Felipe Navarrete Aguilera</t>
  </si>
  <si>
    <t>7.482.207-K</t>
  </si>
  <si>
    <t>Ceferino Arturo Sepulveda Toro</t>
  </si>
  <si>
    <t>76.050.454-8</t>
  </si>
  <si>
    <t>Arriendo de Maquinarias olalde y olalde Limitada</t>
  </si>
  <si>
    <t>15.426.457-4</t>
  </si>
  <si>
    <t>Jose Hernan Diaz Coliman</t>
  </si>
  <si>
    <t>8.837.959-4</t>
  </si>
  <si>
    <t>Manuel Torres Escobar</t>
  </si>
  <si>
    <t>17.585.414-2</t>
  </si>
  <si>
    <t>Javier Eduardo Villalobos Caniu</t>
  </si>
  <si>
    <t>12.030.255-8</t>
  </si>
  <si>
    <t>Celso Bertuzzi Casanelli</t>
  </si>
  <si>
    <t>9.934.806-2</t>
  </si>
  <si>
    <t>Javier Sandoval Morales</t>
  </si>
  <si>
    <t>76.090.930-0</t>
  </si>
  <si>
    <t>Implementos y Maquinarias Forestales Sur Limitada</t>
  </si>
  <si>
    <t>7.581.219-1</t>
  </si>
  <si>
    <t>Denys Annette Paulsen Hinojosa</t>
  </si>
  <si>
    <t>26.383.876-9</t>
  </si>
  <si>
    <t>Douglas Ricardo Castillo Lugo</t>
  </si>
  <si>
    <t>77.749.784-7</t>
  </si>
  <si>
    <t>Comercial Sonnda Spa</t>
  </si>
  <si>
    <t>76.578.622-3</t>
  </si>
  <si>
    <t>Humberto Alfonso Vera Sanchez, Servicio Electrico, E.I.R.L.</t>
  </si>
  <si>
    <t>11.687.115-7</t>
  </si>
  <si>
    <t>Renato Cifuentes Villagran</t>
  </si>
  <si>
    <t>89.672.700-1</t>
  </si>
  <si>
    <t>Comercial Millar Y Arevalo Limitada</t>
  </si>
  <si>
    <t>78.303.165-5</t>
  </si>
  <si>
    <t>JYC MAQUINARIAS SPA</t>
  </si>
  <si>
    <t>76.999.674-5</t>
  </si>
  <si>
    <t>FERRETERIA Y MATERIALES DE CONSTRUCCION CERRO COLORADO SPA</t>
  </si>
  <si>
    <t>77.436.922-8</t>
  </si>
  <si>
    <t>Eduardo Perez opazo Spa</t>
  </si>
  <si>
    <t>76.551.555-6</t>
  </si>
  <si>
    <t>Comercial y Servicios Castillo Hermanos Limitada</t>
  </si>
  <si>
    <t>77.717.578-5</t>
  </si>
  <si>
    <t>Carpo Spa</t>
  </si>
  <si>
    <t>76.942.898-4</t>
  </si>
  <si>
    <t>Sociedad Comercial Morales y Sanzana Limitada</t>
  </si>
  <si>
    <t>76.319.825-1</t>
  </si>
  <si>
    <t>Comercial Urbasan y Compania Limitada</t>
  </si>
  <si>
    <t>77.159.967-2</t>
  </si>
  <si>
    <t>Servicio Tecnico,Agricola y Forestal Tava Limitada</t>
  </si>
  <si>
    <t>12.208.347-0</t>
  </si>
  <si>
    <t>Domingo Caniupan Painevilo</t>
  </si>
  <si>
    <t>15.868.992-8</t>
  </si>
  <si>
    <t>Maria Aguilera</t>
  </si>
  <si>
    <t>76.011.325-5</t>
  </si>
  <si>
    <t>COMERCIAL ROLLE S.A.</t>
  </si>
  <si>
    <t>17.881.059-6</t>
  </si>
  <si>
    <t>ANDRES HUAIQUIMILLA SAN MARTIN</t>
  </si>
  <si>
    <t>8.876.416-1</t>
  </si>
  <si>
    <t>Manuel Carrillo Astorga</t>
  </si>
  <si>
    <t>76.404.627-7</t>
  </si>
  <si>
    <t>Ferreteria Agricola Aqualine Ltda</t>
  </si>
  <si>
    <t>13.124.068-6</t>
  </si>
  <si>
    <t>Juan Mauricio Rodriguez Aguilar</t>
  </si>
  <si>
    <t>78.269.561-4</t>
  </si>
  <si>
    <t>LA CASA DE LA MOTOSIERRA AYSEN SPA</t>
  </si>
  <si>
    <t>10.415.889-7</t>
  </si>
  <si>
    <t>Juan Carlos Boutaud Garces</t>
  </si>
  <si>
    <t>76.363.633-K</t>
  </si>
  <si>
    <t>Multimaq Spa</t>
  </si>
  <si>
    <t>78.000.941-1</t>
  </si>
  <si>
    <t>MASTER RENT SPA</t>
  </si>
  <si>
    <t>15.519.555-K</t>
  </si>
  <si>
    <t>Juan Humberto Cuevas Cuevas</t>
  </si>
  <si>
    <t>24.094.963-6</t>
  </si>
  <si>
    <t>David Adalberto Viza oviedo</t>
  </si>
  <si>
    <t>13.623.706-3</t>
  </si>
  <si>
    <t>Cesar Andres Bizama Pena</t>
  </si>
  <si>
    <t>77.769.312-3</t>
  </si>
  <si>
    <t>Sociedad Ferretera Bosques y Jardin Spa</t>
  </si>
  <si>
    <t>16.036.430-0</t>
  </si>
  <si>
    <t>Marcelo Andres Cabrera Barriga</t>
  </si>
  <si>
    <t>78.067.402-4</t>
  </si>
  <si>
    <t>AGROFORESTAL NATALIA ELIZABETH RODRIGUEZ AHUMADA E.I.R.L.</t>
  </si>
  <si>
    <t>76.299.918-8</t>
  </si>
  <si>
    <t>Sociedad Comercial e Inversiones CRN Spa</t>
  </si>
  <si>
    <t>76.370.741-5</t>
  </si>
  <si>
    <t>Emoch Sociedad Comercial Limitada</t>
  </si>
  <si>
    <t>77.791.890-7</t>
  </si>
  <si>
    <t>Comercial Dimer Limitada</t>
  </si>
  <si>
    <t>9.859.441-8</t>
  </si>
  <si>
    <t>Jose Ismael Mendoza Utreras</t>
  </si>
  <si>
    <t>76.423.206-2</t>
  </si>
  <si>
    <t>SOCIEDAD AREVALO Y GARCIA LTDA</t>
  </si>
  <si>
    <t>76.080.605-6</t>
  </si>
  <si>
    <t>Sociedad Comercializadora de Repuestos Bulnes Limitada</t>
  </si>
  <si>
    <t>76.573.456-8</t>
  </si>
  <si>
    <t>ARRIENDOS CRISTIAN FELIPE BARRIGA SAAVEDRA E.I.R.L.</t>
  </si>
  <si>
    <t>76.287.246-3</t>
  </si>
  <si>
    <t>Comercial Augusmart Limitada</t>
  </si>
  <si>
    <t>77.508.429-4</t>
  </si>
  <si>
    <t>Servicio Tecnico Camacho &amp; otalora Limitada</t>
  </si>
  <si>
    <t>76.006.064-K</t>
  </si>
  <si>
    <t>Sociedad Contreras Y Rosas Ltda</t>
  </si>
  <si>
    <t>77.603.747-8</t>
  </si>
  <si>
    <t>COMERCIALIZADORA MIYUKEVI SPA</t>
  </si>
  <si>
    <t>78.328.882-6</t>
  </si>
  <si>
    <t>MOTOS QUILLEM SPA</t>
  </si>
  <si>
    <t>76.568.877-9</t>
  </si>
  <si>
    <t>FH Industrial Limitada</t>
  </si>
  <si>
    <t>76.038.147-0</t>
  </si>
  <si>
    <t>Ulloa y Sandoval Limitada</t>
  </si>
  <si>
    <t>76.491.728-6</t>
  </si>
  <si>
    <t>Comercial Fuentes y Compania Ltda</t>
  </si>
  <si>
    <t>77.987.286-6</t>
  </si>
  <si>
    <t>Sociedad Abello Spa</t>
  </si>
  <si>
    <t>76.269.123-K</t>
  </si>
  <si>
    <t>HERNANI COVILI ROA Y COMPAÃƒÂ‘IA LIMITADA</t>
  </si>
  <si>
    <t>77.199.123-8</t>
  </si>
  <si>
    <t>Comercializadora Gonzalez y Garcia Limitada</t>
  </si>
  <si>
    <t>13.381.466-3</t>
  </si>
  <si>
    <t>Edison Rodrigo Gutierrez Venegas</t>
  </si>
  <si>
    <t>77.206.493-4</t>
  </si>
  <si>
    <t>Sabando Maquinarias y Ferreteria Ltda</t>
  </si>
  <si>
    <t>77.696.528-6</t>
  </si>
  <si>
    <t>Hirumaq E.i.r.l</t>
  </si>
  <si>
    <t>10.751.206-3</t>
  </si>
  <si>
    <t>CESAR SOTO FERRADA</t>
  </si>
  <si>
    <t>76.355.731-6</t>
  </si>
  <si>
    <t>Sociedad Jara y Compania Spa</t>
  </si>
  <si>
    <t>10.088.200-0</t>
  </si>
  <si>
    <t>Gabriel Rojas Pena</t>
  </si>
  <si>
    <t>78.237.789-2</t>
  </si>
  <si>
    <t>IMPORTACIONES Y REPUESTOS BYB SPA</t>
  </si>
  <si>
    <t>11.802.397-8</t>
  </si>
  <si>
    <t>Tatiana Ivonne Leal Gutierrez</t>
  </si>
  <si>
    <t>76.861.026-6</t>
  </si>
  <si>
    <t>Villa Motor's Spa</t>
  </si>
  <si>
    <t>77.661.677-K</t>
  </si>
  <si>
    <t>Profesionales de la Maquinaria Spa</t>
  </si>
  <si>
    <t>76.698.208-5</t>
  </si>
  <si>
    <t>Ventas y Arriendo de Maquinarias Full Rent Limitada</t>
  </si>
  <si>
    <t>77.986.536-3</t>
  </si>
  <si>
    <t>Serviandes Spa</t>
  </si>
  <si>
    <t>78.300.341-4</t>
  </si>
  <si>
    <t>MANTENCION Y REPARACION CARLOS ALBERTO PONCE PEREIRA E.I.R.L.</t>
  </si>
  <si>
    <t>78.319.560-7</t>
  </si>
  <si>
    <t>Comercial Serafin Chavez y Cia Ltda</t>
  </si>
  <si>
    <t>78.021.297-7</t>
  </si>
  <si>
    <t>Servicio Zoe Spa</t>
  </si>
  <si>
    <t>10.200.576-7</t>
  </si>
  <si>
    <t>Arnoldo Gabriel Chandia Escobar</t>
  </si>
  <si>
    <t>6.468.575-9</t>
  </si>
  <si>
    <t>Carlos Arnoldo Leiva Villagra</t>
  </si>
  <si>
    <t>76.080.093-7</t>
  </si>
  <si>
    <t>Maquinarias y Comercializadora Limitada</t>
  </si>
  <si>
    <t>76.645.610-3</t>
  </si>
  <si>
    <t>ALTO BOSQUE LTDA</t>
  </si>
  <si>
    <t>77.501.989-1</t>
  </si>
  <si>
    <t>Maquinarias Labranza Spa</t>
  </si>
  <si>
    <t>76.821.443-3</t>
  </si>
  <si>
    <t>Soc.Aravena y Araneda Ltda</t>
  </si>
  <si>
    <t>10.806.758-6</t>
  </si>
  <si>
    <t>Pedro Pablo Inostroza Rebolledo</t>
  </si>
  <si>
    <t>78.216.446-5</t>
  </si>
  <si>
    <t>LA CASA DE LA MOTOSIERRA SPA</t>
  </si>
  <si>
    <t>76.983.712-4</t>
  </si>
  <si>
    <t>Tala Agroforestal y Jardines Spa</t>
  </si>
  <si>
    <t>7.006.626-2</t>
  </si>
  <si>
    <t>Jose Cifuentes Salvo</t>
  </si>
  <si>
    <t>78.010.275-6</t>
  </si>
  <si>
    <t>Beque Maquinarias Sur</t>
  </si>
  <si>
    <t>76.535.323-8</t>
  </si>
  <si>
    <t>SOCIEDAD COMERCIAL HERNANDEZ Y HERNANDEZ LIMITADA</t>
  </si>
  <si>
    <t>76.046.995-5</t>
  </si>
  <si>
    <t>DICOEM SPA</t>
  </si>
  <si>
    <t>76.957.462-K</t>
  </si>
  <si>
    <t>Servicios Generales Medina Asociados Spa</t>
  </si>
  <si>
    <t>76.113.479-5</t>
  </si>
  <si>
    <t>Celery Servicios Spa</t>
  </si>
  <si>
    <t>77.861.858-3</t>
  </si>
  <si>
    <t>PROFESIONALES SUR SPA</t>
  </si>
  <si>
    <t>13.797.840-7</t>
  </si>
  <si>
    <t>Manuel Baquedano Pineda</t>
  </si>
  <si>
    <t>77.850.217-8</t>
  </si>
  <si>
    <t>VASEF SOLUTION SPA</t>
  </si>
  <si>
    <t>18.813.450-5</t>
  </si>
  <si>
    <t>Abraham Sanhueza</t>
  </si>
  <si>
    <t>76.096.579-0</t>
  </si>
  <si>
    <t>Agro Y Jardin Chicureo Limitada</t>
  </si>
  <si>
    <t>76.979.748-3</t>
  </si>
  <si>
    <t>Comercial Sur Bombas Spa</t>
  </si>
  <si>
    <t>18.536.522-0</t>
  </si>
  <si>
    <t>Cristian Alexi Cid Rozas</t>
  </si>
  <si>
    <t>10.716.437-5</t>
  </si>
  <si>
    <t>Esteban Andy Morales Zuniga</t>
  </si>
  <si>
    <t>76.833.120-0</t>
  </si>
  <si>
    <t>Estrella Yaquelin Sepulveda Gonzalez EIRL</t>
  </si>
  <si>
    <t>77.688.832-K</t>
  </si>
  <si>
    <t>Ferremas Spa</t>
  </si>
  <si>
    <t>78.143.305-5</t>
  </si>
  <si>
    <t>FERRETERIA INDUSTRIAL Y ARRIENDO DE MAQUINARIA SPA</t>
  </si>
  <si>
    <t>8.198.089-6</t>
  </si>
  <si>
    <t>Gladys Esther Manrique Perez</t>
  </si>
  <si>
    <t>7.059.999-6</t>
  </si>
  <si>
    <t>Jose Cid Munoz</t>
  </si>
  <si>
    <t>8.203.923-6</t>
  </si>
  <si>
    <t>Juan Carlos Ramos Soto</t>
  </si>
  <si>
    <t>78.410.160-6</t>
  </si>
  <si>
    <t>Juan olalde E Hijos Limitada</t>
  </si>
  <si>
    <t>10.120.962-8</t>
  </si>
  <si>
    <t>Lorenzo Montecinos</t>
  </si>
  <si>
    <t>16.185.657-6</t>
  </si>
  <si>
    <t>LUIS ESTEBAN SAAVEDRA ALARCON</t>
  </si>
  <si>
    <t>76.139.118-6</t>
  </si>
  <si>
    <t>MAQ ARAUCANIA LIMITADA</t>
  </si>
  <si>
    <t>78.825.350-8</t>
  </si>
  <si>
    <t>Marsold Ltda</t>
  </si>
  <si>
    <t>11.771.561-2</t>
  </si>
  <si>
    <t>Marta Sepulveda Lagos</t>
  </si>
  <si>
    <t>77.078.465-4</t>
  </si>
  <si>
    <t>NUBLEMAQ E.I.R.L</t>
  </si>
  <si>
    <t>16.317.000-0</t>
  </si>
  <si>
    <t>Pablo Aroca</t>
  </si>
  <si>
    <t>77.593.884-6</t>
  </si>
  <si>
    <t>Pinto &amp; Casapia Servicios y Mantenimiento Spa</t>
  </si>
  <si>
    <t>78.026.788-7</t>
  </si>
  <si>
    <t>RENT AUSTRAL SPA</t>
  </si>
  <si>
    <t>9.620.680-1</t>
  </si>
  <si>
    <t>Roberto Enrique Lobos Ratti</t>
  </si>
  <si>
    <t>76.052.419-0</t>
  </si>
  <si>
    <t>Servicio De Maquinas Y Equipos Victor Segundo Ravanal Saez E.I.R.L</t>
  </si>
  <si>
    <t>76.341.732-8</t>
  </si>
  <si>
    <t>Sociedad Comercial y Asesorias S.E.B Limitada</t>
  </si>
  <si>
    <t>78.870.070-9</t>
  </si>
  <si>
    <t>Vicente Ruiz y 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</si>
</sst>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8" fillId="34" borderId="10" xfId="0" applyFont="1" applyFill="1" applyBorder="1" applyAlignment="1">
      <alignment horizontal="center" vertical="center" wrapText="1"/>
    </xf>
    <xf numFmtId="3" fontId="0" fillId="0" borderId="10" xfId="0" applyNumberFormat="1" applyBorder="1"/>
    <xf numFmtId="3" fontId="0" fillId="35" borderId="10" xfId="0" applyNumberFormat="1" applyFill="1" applyBorder="1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3" fontId="0" fillId="0" borderId="10" xfId="0" applyNumberFormat="1" applyBorder="1" applyAlignment="1">
      <alignment wrapText="1"/>
    </xf>
    <xf numFmtId="0" fontId="0" fillId="33" borderId="10" xfId="0" applyFill="1" applyBorder="1" applyAlignment="1">
      <alignment wrapText="1"/>
    </xf>
    <xf numFmtId="3" fontId="0" fillId="33" borderId="10" xfId="0" applyNumberFormat="1" applyFill="1" applyBorder="1" applyAlignment="1">
      <alignment wrapText="1"/>
    </xf>
    <xf numFmtId="0" fontId="0" fillId="0" borderId="10" xfId="0" applyBorder="1"/>
    <xf numFmtId="0" fontId="0" fillId="36" borderId="10" xfId="0" applyFill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61"/>
  <sheetViews>
    <sheetView showGridLines="0" tabSelected="1" topLeftCell="A131" workbookViewId="0">
      <selection activeCell="L150" sqref="L150"/>
    </sheetView>
  </sheetViews>
  <sheetFormatPr baseColWidth="10" defaultRowHeight="15" x14ac:dyDescent="0.25"/>
  <cols>
    <col min="1" max="1" width="12.140625" bestFit="1" customWidth="1"/>
    <col min="2" max="2" width="12" bestFit="1" customWidth="1"/>
    <col min="3" max="3" width="45.7109375" bestFit="1" customWidth="1"/>
    <col min="4" max="4" width="12.28515625" bestFit="1" customWidth="1"/>
    <col min="5" max="6" width="9.140625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4</v>
      </c>
      <c r="H1" s="1" t="s">
        <v>5</v>
      </c>
    </row>
    <row r="2" spans="1:8" x14ac:dyDescent="0.25">
      <c r="A2" s="5">
        <v>1</v>
      </c>
      <c r="B2" s="5" t="s">
        <v>6</v>
      </c>
      <c r="C2" s="5" t="s">
        <v>7</v>
      </c>
      <c r="D2" s="5" t="s">
        <v>8</v>
      </c>
      <c r="E2" s="6">
        <v>9898537</v>
      </c>
      <c r="F2" s="6">
        <v>1112684</v>
      </c>
      <c r="G2" s="2">
        <v>9898537</v>
      </c>
      <c r="H2" s="2">
        <v>1112684</v>
      </c>
    </row>
    <row r="3" spans="1:8" x14ac:dyDescent="0.25">
      <c r="A3" s="5">
        <f>A2+1</f>
        <v>2</v>
      </c>
      <c r="B3" s="5" t="s">
        <v>9</v>
      </c>
      <c r="C3" s="5" t="s">
        <v>10</v>
      </c>
      <c r="D3" s="5" t="s">
        <v>8</v>
      </c>
      <c r="E3" s="6">
        <v>8981783</v>
      </c>
      <c r="F3" s="6">
        <v>1781728</v>
      </c>
      <c r="G3" s="2">
        <v>8981783</v>
      </c>
      <c r="H3" s="2">
        <v>1781728</v>
      </c>
    </row>
    <row r="4" spans="1:8" x14ac:dyDescent="0.25">
      <c r="A4" s="5">
        <f t="shared" ref="A4:A67" si="0">A3+1</f>
        <v>3</v>
      </c>
      <c r="B4" s="5" t="s">
        <v>11</v>
      </c>
      <c r="C4" s="5" t="s">
        <v>12</v>
      </c>
      <c r="D4" s="5" t="s">
        <v>8</v>
      </c>
      <c r="E4" s="6">
        <v>3439307</v>
      </c>
      <c r="F4" s="6">
        <v>2396397</v>
      </c>
      <c r="G4" s="2">
        <v>3439307</v>
      </c>
      <c r="H4" s="2">
        <v>2396397</v>
      </c>
    </row>
    <row r="5" spans="1:8" x14ac:dyDescent="0.25">
      <c r="A5" s="5">
        <f t="shared" si="0"/>
        <v>4</v>
      </c>
      <c r="B5" s="5" t="s">
        <v>13</v>
      </c>
      <c r="C5" s="5" t="s">
        <v>14</v>
      </c>
      <c r="D5" s="5" t="s">
        <v>8</v>
      </c>
      <c r="E5" s="6">
        <v>5734646</v>
      </c>
      <c r="F5" s="7">
        <v>0</v>
      </c>
      <c r="G5" s="2">
        <v>5734646</v>
      </c>
      <c r="H5" s="3">
        <v>0</v>
      </c>
    </row>
    <row r="6" spans="1:8" x14ac:dyDescent="0.25">
      <c r="A6" s="5">
        <f t="shared" si="0"/>
        <v>5</v>
      </c>
      <c r="B6" s="5" t="s">
        <v>15</v>
      </c>
      <c r="C6" s="5" t="s">
        <v>16</v>
      </c>
      <c r="D6" s="5" t="s">
        <v>8</v>
      </c>
      <c r="E6" s="6">
        <v>3148499</v>
      </c>
      <c r="F6" s="6">
        <v>1559072</v>
      </c>
      <c r="G6" s="2">
        <v>3148499</v>
      </c>
      <c r="H6" s="2">
        <v>1559072</v>
      </c>
    </row>
    <row r="7" spans="1:8" x14ac:dyDescent="0.25">
      <c r="A7" s="5">
        <f t="shared" si="0"/>
        <v>6</v>
      </c>
      <c r="B7" s="5" t="s">
        <v>17</v>
      </c>
      <c r="C7" s="5" t="s">
        <v>18</v>
      </c>
      <c r="D7" s="5" t="s">
        <v>8</v>
      </c>
      <c r="E7" s="6">
        <v>2470011</v>
      </c>
      <c r="F7" s="6">
        <v>1731934</v>
      </c>
      <c r="G7" s="2">
        <v>2470011</v>
      </c>
      <c r="H7" s="2">
        <v>1731934</v>
      </c>
    </row>
    <row r="8" spans="1:8" ht="30" x14ac:dyDescent="0.25">
      <c r="A8" s="5">
        <f t="shared" si="0"/>
        <v>7</v>
      </c>
      <c r="B8" s="5" t="s">
        <v>19</v>
      </c>
      <c r="C8" s="5" t="s">
        <v>20</v>
      </c>
      <c r="D8" s="5" t="s">
        <v>8</v>
      </c>
      <c r="E8" s="6">
        <v>3126638</v>
      </c>
      <c r="F8" s="6">
        <v>842700</v>
      </c>
      <c r="G8" s="2">
        <v>3126638</v>
      </c>
      <c r="H8" s="2">
        <v>842700</v>
      </c>
    </row>
    <row r="9" spans="1:8" x14ac:dyDescent="0.25">
      <c r="A9" s="5">
        <f t="shared" si="0"/>
        <v>8</v>
      </c>
      <c r="B9" s="5" t="s">
        <v>21</v>
      </c>
      <c r="C9" s="5" t="s">
        <v>22</v>
      </c>
      <c r="D9" s="5" t="s">
        <v>8</v>
      </c>
      <c r="E9" s="6">
        <v>2083789</v>
      </c>
      <c r="F9" s="6">
        <v>1811404</v>
      </c>
      <c r="G9" s="2">
        <v>2083789</v>
      </c>
      <c r="H9" s="2">
        <v>1811404</v>
      </c>
    </row>
    <row r="10" spans="1:8" x14ac:dyDescent="0.25">
      <c r="A10" s="5">
        <f t="shared" si="0"/>
        <v>9</v>
      </c>
      <c r="B10" s="5" t="s">
        <v>23</v>
      </c>
      <c r="C10" s="5" t="s">
        <v>24</v>
      </c>
      <c r="D10" s="5" t="s">
        <v>8</v>
      </c>
      <c r="E10" s="6">
        <v>3125588</v>
      </c>
      <c r="F10" s="6">
        <v>476901</v>
      </c>
      <c r="G10" s="2">
        <v>3125588</v>
      </c>
      <c r="H10" s="2">
        <v>476901</v>
      </c>
    </row>
    <row r="11" spans="1:8" x14ac:dyDescent="0.25">
      <c r="A11" s="5">
        <f t="shared" si="0"/>
        <v>10</v>
      </c>
      <c r="B11" s="5" t="s">
        <v>25</v>
      </c>
      <c r="C11" s="5" t="s">
        <v>26</v>
      </c>
      <c r="D11" s="5" t="s">
        <v>8</v>
      </c>
      <c r="E11" s="6">
        <v>2296062</v>
      </c>
      <c r="F11" s="6">
        <v>616167</v>
      </c>
      <c r="G11" s="2">
        <v>2296062</v>
      </c>
      <c r="H11" s="2">
        <v>616167</v>
      </c>
    </row>
    <row r="12" spans="1:8" x14ac:dyDescent="0.25">
      <c r="A12" s="5">
        <f t="shared" si="0"/>
        <v>11</v>
      </c>
      <c r="B12" s="5" t="s">
        <v>27</v>
      </c>
      <c r="C12" s="5" t="s">
        <v>28</v>
      </c>
      <c r="D12" s="5" t="s">
        <v>8</v>
      </c>
      <c r="E12" s="6">
        <v>2793234</v>
      </c>
      <c r="F12" s="7">
        <v>0</v>
      </c>
      <c r="G12" s="2">
        <v>2793234</v>
      </c>
      <c r="H12" s="3">
        <v>0</v>
      </c>
    </row>
    <row r="13" spans="1:8" ht="30" x14ac:dyDescent="0.25">
      <c r="A13" s="5">
        <f t="shared" si="0"/>
        <v>12</v>
      </c>
      <c r="B13" s="5" t="s">
        <v>29</v>
      </c>
      <c r="C13" s="5" t="s">
        <v>30</v>
      </c>
      <c r="D13" s="5" t="s">
        <v>8</v>
      </c>
      <c r="E13" s="6">
        <v>1750707</v>
      </c>
      <c r="F13" s="6">
        <v>850595</v>
      </c>
      <c r="G13" s="2">
        <v>1750707</v>
      </c>
      <c r="H13" s="2">
        <v>850595</v>
      </c>
    </row>
    <row r="14" spans="1:8" x14ac:dyDescent="0.25">
      <c r="A14" s="5">
        <f t="shared" si="0"/>
        <v>13</v>
      </c>
      <c r="B14" s="5" t="s">
        <v>31</v>
      </c>
      <c r="C14" s="5" t="s">
        <v>32</v>
      </c>
      <c r="D14" s="5" t="s">
        <v>8</v>
      </c>
      <c r="E14" s="6">
        <v>1668130</v>
      </c>
      <c r="F14" s="6">
        <v>782552</v>
      </c>
      <c r="G14" s="2">
        <v>1668130</v>
      </c>
      <c r="H14" s="2">
        <v>782552</v>
      </c>
    </row>
    <row r="15" spans="1:8" x14ac:dyDescent="0.25">
      <c r="A15" s="5">
        <f t="shared" si="0"/>
        <v>14</v>
      </c>
      <c r="B15" s="5" t="s">
        <v>33</v>
      </c>
      <c r="C15" s="5" t="s">
        <v>34</v>
      </c>
      <c r="D15" s="5" t="s">
        <v>8</v>
      </c>
      <c r="E15" s="6">
        <v>1510829</v>
      </c>
      <c r="F15" s="6">
        <v>885639</v>
      </c>
      <c r="G15" s="2">
        <v>1510829</v>
      </c>
      <c r="H15" s="2">
        <v>885639</v>
      </c>
    </row>
    <row r="16" spans="1:8" x14ac:dyDescent="0.25">
      <c r="A16" s="5">
        <f t="shared" si="0"/>
        <v>15</v>
      </c>
      <c r="B16" s="5" t="s">
        <v>35</v>
      </c>
      <c r="C16" s="5" t="s">
        <v>36</v>
      </c>
      <c r="D16" s="5" t="s">
        <v>8</v>
      </c>
      <c r="E16" s="6">
        <v>1746450</v>
      </c>
      <c r="F16" s="6">
        <v>648740</v>
      </c>
      <c r="G16" s="2">
        <v>1746450</v>
      </c>
      <c r="H16" s="2">
        <v>648740</v>
      </c>
    </row>
    <row r="17" spans="1:8" x14ac:dyDescent="0.25">
      <c r="A17" s="5">
        <f t="shared" si="0"/>
        <v>16</v>
      </c>
      <c r="B17" s="5" t="s">
        <v>37</v>
      </c>
      <c r="C17" s="5" t="s">
        <v>38</v>
      </c>
      <c r="D17" s="5" t="s">
        <v>8</v>
      </c>
      <c r="E17" s="6">
        <v>2070862</v>
      </c>
      <c r="F17" s="6">
        <v>114381</v>
      </c>
      <c r="G17" s="2">
        <v>2070862</v>
      </c>
      <c r="H17" s="2">
        <v>114381</v>
      </c>
    </row>
    <row r="18" spans="1:8" x14ac:dyDescent="0.25">
      <c r="A18" s="5">
        <f t="shared" si="0"/>
        <v>17</v>
      </c>
      <c r="B18" s="5" t="s">
        <v>39</v>
      </c>
      <c r="C18" s="5" t="s">
        <v>40</v>
      </c>
      <c r="D18" s="5" t="s">
        <v>8</v>
      </c>
      <c r="E18" s="6">
        <v>1174716</v>
      </c>
      <c r="F18" s="6">
        <v>964044</v>
      </c>
      <c r="G18" s="2">
        <v>1174716</v>
      </c>
      <c r="H18" s="2">
        <v>964044</v>
      </c>
    </row>
    <row r="19" spans="1:8" x14ac:dyDescent="0.25">
      <c r="A19" s="5">
        <f t="shared" si="0"/>
        <v>18</v>
      </c>
      <c r="B19" s="5" t="s">
        <v>41</v>
      </c>
      <c r="C19" s="5" t="s">
        <v>42</v>
      </c>
      <c r="D19" s="5" t="s">
        <v>8</v>
      </c>
      <c r="E19" s="6">
        <v>1261646</v>
      </c>
      <c r="F19" s="6">
        <v>749556</v>
      </c>
      <c r="G19" s="2">
        <v>1261646</v>
      </c>
      <c r="H19" s="2">
        <v>749556</v>
      </c>
    </row>
    <row r="20" spans="1:8" x14ac:dyDescent="0.25">
      <c r="A20" s="5">
        <f t="shared" si="0"/>
        <v>19</v>
      </c>
      <c r="B20" s="5" t="s">
        <v>43</v>
      </c>
      <c r="C20" s="5" t="s">
        <v>44</v>
      </c>
      <c r="D20" s="5" t="s">
        <v>8</v>
      </c>
      <c r="E20" s="6">
        <v>1426503</v>
      </c>
      <c r="F20" s="6">
        <v>413308</v>
      </c>
      <c r="G20" s="2">
        <v>1426503</v>
      </c>
      <c r="H20" s="2">
        <v>413308</v>
      </c>
    </row>
    <row r="21" spans="1:8" x14ac:dyDescent="0.25">
      <c r="A21" s="5">
        <f t="shared" si="0"/>
        <v>20</v>
      </c>
      <c r="B21" s="5" t="s">
        <v>45</v>
      </c>
      <c r="C21" s="5" t="s">
        <v>46</v>
      </c>
      <c r="D21" s="5" t="s">
        <v>8</v>
      </c>
      <c r="E21" s="6">
        <v>1174296</v>
      </c>
      <c r="F21" s="6">
        <v>542160</v>
      </c>
      <c r="G21" s="2">
        <v>1174296</v>
      </c>
      <c r="H21" s="2">
        <v>542160</v>
      </c>
    </row>
    <row r="22" spans="1:8" x14ac:dyDescent="0.25">
      <c r="A22" s="5">
        <f t="shared" si="0"/>
        <v>21</v>
      </c>
      <c r="B22" s="5" t="s">
        <v>47</v>
      </c>
      <c r="C22" s="5" t="s">
        <v>48</v>
      </c>
      <c r="D22" s="5" t="s">
        <v>8</v>
      </c>
      <c r="E22" s="6">
        <v>1264900</v>
      </c>
      <c r="F22" s="6">
        <v>220105</v>
      </c>
      <c r="G22" s="2">
        <v>1264900</v>
      </c>
      <c r="H22" s="2">
        <v>220105</v>
      </c>
    </row>
    <row r="23" spans="1:8" x14ac:dyDescent="0.25">
      <c r="A23" s="5">
        <f t="shared" si="0"/>
        <v>22</v>
      </c>
      <c r="B23" s="5" t="s">
        <v>49</v>
      </c>
      <c r="C23" s="5" t="s">
        <v>50</v>
      </c>
      <c r="D23" s="5" t="s">
        <v>8</v>
      </c>
      <c r="E23" s="6">
        <v>874683</v>
      </c>
      <c r="F23" s="6">
        <v>553023</v>
      </c>
      <c r="G23" s="2">
        <v>874683</v>
      </c>
      <c r="H23" s="2">
        <v>553023</v>
      </c>
    </row>
    <row r="24" spans="1:8" x14ac:dyDescent="0.25">
      <c r="A24" s="5">
        <f t="shared" si="0"/>
        <v>23</v>
      </c>
      <c r="B24" s="5" t="s">
        <v>51</v>
      </c>
      <c r="C24" s="5" t="s">
        <v>52</v>
      </c>
      <c r="D24" s="5" t="s">
        <v>8</v>
      </c>
      <c r="E24" s="6">
        <v>452901</v>
      </c>
      <c r="F24" s="6">
        <v>972603</v>
      </c>
      <c r="G24" s="2">
        <v>452901</v>
      </c>
      <c r="H24" s="2">
        <v>972603</v>
      </c>
    </row>
    <row r="25" spans="1:8" x14ac:dyDescent="0.25">
      <c r="A25" s="5">
        <f t="shared" si="0"/>
        <v>24</v>
      </c>
      <c r="B25" s="5" t="s">
        <v>53</v>
      </c>
      <c r="C25" s="5" t="s">
        <v>54</v>
      </c>
      <c r="D25" s="5" t="s">
        <v>8</v>
      </c>
      <c r="E25" s="6">
        <v>840924</v>
      </c>
      <c r="F25" s="6">
        <v>526454</v>
      </c>
      <c r="G25" s="2">
        <v>840924</v>
      </c>
      <c r="H25" s="2">
        <v>526454</v>
      </c>
    </row>
    <row r="26" spans="1:8" x14ac:dyDescent="0.25">
      <c r="A26" s="5">
        <f t="shared" si="0"/>
        <v>25</v>
      </c>
      <c r="B26" s="5" t="s">
        <v>55</v>
      </c>
      <c r="C26" s="5" t="s">
        <v>56</v>
      </c>
      <c r="D26" s="5" t="s">
        <v>8</v>
      </c>
      <c r="E26" s="6">
        <v>1351485</v>
      </c>
      <c r="F26" s="7">
        <v>0</v>
      </c>
      <c r="G26" s="2">
        <v>1351485</v>
      </c>
      <c r="H26" s="3">
        <v>0</v>
      </c>
    </row>
    <row r="27" spans="1:8" x14ac:dyDescent="0.25">
      <c r="A27" s="5">
        <f t="shared" si="0"/>
        <v>26</v>
      </c>
      <c r="B27" s="5" t="s">
        <v>57</v>
      </c>
      <c r="C27" s="5" t="s">
        <v>58</v>
      </c>
      <c r="D27" s="5" t="s">
        <v>8</v>
      </c>
      <c r="E27" s="6">
        <v>749904</v>
      </c>
      <c r="F27" s="6">
        <v>597762</v>
      </c>
      <c r="G27" s="2">
        <v>749904</v>
      </c>
      <c r="H27" s="2">
        <v>597762</v>
      </c>
    </row>
    <row r="28" spans="1:8" x14ac:dyDescent="0.25">
      <c r="A28" s="5">
        <f t="shared" si="0"/>
        <v>27</v>
      </c>
      <c r="B28" s="5" t="s">
        <v>59</v>
      </c>
      <c r="C28" s="5" t="s">
        <v>60</v>
      </c>
      <c r="D28" s="5" t="s">
        <v>8</v>
      </c>
      <c r="E28" s="6">
        <v>1330146</v>
      </c>
      <c r="F28" s="7">
        <v>0</v>
      </c>
      <c r="G28" s="2">
        <v>1330146</v>
      </c>
      <c r="H28" s="3">
        <v>0</v>
      </c>
    </row>
    <row r="29" spans="1:8" x14ac:dyDescent="0.25">
      <c r="A29" s="5">
        <f t="shared" si="0"/>
        <v>28</v>
      </c>
      <c r="B29" s="5" t="s">
        <v>61</v>
      </c>
      <c r="C29" s="5" t="s">
        <v>62</v>
      </c>
      <c r="D29" s="5" t="s">
        <v>8</v>
      </c>
      <c r="E29" s="6">
        <v>879661</v>
      </c>
      <c r="F29" s="6">
        <v>447764</v>
      </c>
      <c r="G29" s="2">
        <v>879661</v>
      </c>
      <c r="H29" s="2">
        <v>447764</v>
      </c>
    </row>
    <row r="30" spans="1:8" x14ac:dyDescent="0.25">
      <c r="A30" s="5">
        <f t="shared" si="0"/>
        <v>29</v>
      </c>
      <c r="B30" s="5" t="s">
        <v>63</v>
      </c>
      <c r="C30" s="5" t="s">
        <v>64</v>
      </c>
      <c r="D30" s="5" t="s">
        <v>8</v>
      </c>
      <c r="E30" s="6">
        <v>1266954</v>
      </c>
      <c r="F30" s="7">
        <v>0</v>
      </c>
      <c r="G30" s="2">
        <v>1266954</v>
      </c>
      <c r="H30" s="3">
        <v>0</v>
      </c>
    </row>
    <row r="31" spans="1:8" x14ac:dyDescent="0.25">
      <c r="A31" s="5">
        <f t="shared" si="0"/>
        <v>30</v>
      </c>
      <c r="B31" s="5" t="s">
        <v>65</v>
      </c>
      <c r="C31" s="5" t="s">
        <v>66</v>
      </c>
      <c r="D31" s="5" t="s">
        <v>8</v>
      </c>
      <c r="E31" s="6">
        <v>805392</v>
      </c>
      <c r="F31" s="6">
        <v>460899</v>
      </c>
      <c r="G31" s="2">
        <v>805392</v>
      </c>
      <c r="H31" s="2">
        <v>460899</v>
      </c>
    </row>
    <row r="32" spans="1:8" x14ac:dyDescent="0.25">
      <c r="A32" s="5">
        <f t="shared" si="0"/>
        <v>31</v>
      </c>
      <c r="B32" s="5" t="s">
        <v>67</v>
      </c>
      <c r="C32" s="5" t="s">
        <v>68</v>
      </c>
      <c r="D32" s="5" t="s">
        <v>8</v>
      </c>
      <c r="E32" s="6">
        <v>1264176</v>
      </c>
      <c r="F32" s="7">
        <v>0</v>
      </c>
      <c r="G32" s="2">
        <v>1264176</v>
      </c>
      <c r="H32" s="3">
        <v>0</v>
      </c>
    </row>
    <row r="33" spans="1:8" x14ac:dyDescent="0.25">
      <c r="A33" s="5">
        <f t="shared" si="0"/>
        <v>32</v>
      </c>
      <c r="B33" s="5" t="s">
        <v>69</v>
      </c>
      <c r="C33" s="5" t="s">
        <v>70</v>
      </c>
      <c r="D33" s="5" t="s">
        <v>8</v>
      </c>
      <c r="E33" s="6">
        <v>865737</v>
      </c>
      <c r="F33" s="6">
        <v>355617</v>
      </c>
      <c r="G33" s="2">
        <v>865737</v>
      </c>
      <c r="H33" s="2">
        <v>355617</v>
      </c>
    </row>
    <row r="34" spans="1:8" x14ac:dyDescent="0.25">
      <c r="A34" s="5">
        <f t="shared" si="0"/>
        <v>33</v>
      </c>
      <c r="B34" s="5" t="s">
        <v>71</v>
      </c>
      <c r="C34" s="5" t="s">
        <v>72</v>
      </c>
      <c r="D34" s="5" t="s">
        <v>8</v>
      </c>
      <c r="E34" s="6">
        <v>1213740</v>
      </c>
      <c r="F34" s="7">
        <v>0</v>
      </c>
      <c r="G34" s="2">
        <v>1213740</v>
      </c>
      <c r="H34" s="3">
        <v>0</v>
      </c>
    </row>
    <row r="35" spans="1:8" x14ac:dyDescent="0.25">
      <c r="A35" s="5">
        <f t="shared" si="0"/>
        <v>34</v>
      </c>
      <c r="B35" s="5" t="s">
        <v>73</v>
      </c>
      <c r="C35" s="5" t="s">
        <v>74</v>
      </c>
      <c r="D35" s="5" t="s">
        <v>8</v>
      </c>
      <c r="E35" s="6">
        <v>538342</v>
      </c>
      <c r="F35" s="6">
        <v>635526</v>
      </c>
      <c r="G35" s="2">
        <v>538342</v>
      </c>
      <c r="H35" s="2">
        <v>635526</v>
      </c>
    </row>
    <row r="36" spans="1:8" ht="45" x14ac:dyDescent="0.25">
      <c r="A36" s="5">
        <f t="shared" si="0"/>
        <v>35</v>
      </c>
      <c r="B36" s="5" t="s">
        <v>75</v>
      </c>
      <c r="C36" s="5" t="s">
        <v>76</v>
      </c>
      <c r="D36" s="5" t="s">
        <v>8</v>
      </c>
      <c r="E36" s="6">
        <v>115569</v>
      </c>
      <c r="F36" s="6">
        <v>1053823</v>
      </c>
      <c r="G36" s="2">
        <v>115569</v>
      </c>
      <c r="H36" s="2">
        <v>1053823</v>
      </c>
    </row>
    <row r="37" spans="1:8" x14ac:dyDescent="0.25">
      <c r="A37" s="5">
        <f t="shared" si="0"/>
        <v>36</v>
      </c>
      <c r="B37" s="5" t="s">
        <v>77</v>
      </c>
      <c r="C37" s="5" t="s">
        <v>78</v>
      </c>
      <c r="D37" s="5" t="s">
        <v>8</v>
      </c>
      <c r="E37" s="6">
        <v>1148139</v>
      </c>
      <c r="F37" s="7">
        <v>0</v>
      </c>
      <c r="G37" s="2">
        <v>1148139</v>
      </c>
      <c r="H37" s="3">
        <v>0</v>
      </c>
    </row>
    <row r="38" spans="1:8" ht="30" x14ac:dyDescent="0.25">
      <c r="A38" s="5">
        <f t="shared" si="0"/>
        <v>37</v>
      </c>
      <c r="B38" s="5" t="s">
        <v>79</v>
      </c>
      <c r="C38" s="5" t="s">
        <v>80</v>
      </c>
      <c r="D38" s="5" t="s">
        <v>8</v>
      </c>
      <c r="E38" s="6">
        <v>421110</v>
      </c>
      <c r="F38" s="6">
        <v>704610</v>
      </c>
      <c r="G38" s="2">
        <v>421110</v>
      </c>
      <c r="H38" s="2">
        <v>704610</v>
      </c>
    </row>
    <row r="39" spans="1:8" x14ac:dyDescent="0.25">
      <c r="A39" s="5">
        <f t="shared" si="0"/>
        <v>38</v>
      </c>
      <c r="B39" s="5" t="s">
        <v>81</v>
      </c>
      <c r="C39" s="5" t="s">
        <v>82</v>
      </c>
      <c r="D39" s="5" t="s">
        <v>8</v>
      </c>
      <c r="E39" s="6">
        <v>521828</v>
      </c>
      <c r="F39" s="6">
        <v>555875</v>
      </c>
      <c r="G39" s="2">
        <v>521828</v>
      </c>
      <c r="H39" s="2">
        <v>555875</v>
      </c>
    </row>
    <row r="40" spans="1:8" x14ac:dyDescent="0.25">
      <c r="A40" s="5">
        <f t="shared" si="0"/>
        <v>39</v>
      </c>
      <c r="B40" s="5" t="s">
        <v>83</v>
      </c>
      <c r="C40" s="5" t="s">
        <v>84</v>
      </c>
      <c r="D40" s="5" t="s">
        <v>8</v>
      </c>
      <c r="E40" s="6">
        <v>373464</v>
      </c>
      <c r="F40" s="6">
        <v>665117</v>
      </c>
      <c r="G40" s="2">
        <v>373464</v>
      </c>
      <c r="H40" s="2">
        <v>665117</v>
      </c>
    </row>
    <row r="41" spans="1:8" ht="30" x14ac:dyDescent="0.25">
      <c r="A41" s="5">
        <f t="shared" si="0"/>
        <v>40</v>
      </c>
      <c r="B41" s="5" t="s">
        <v>85</v>
      </c>
      <c r="C41" s="5" t="s">
        <v>86</v>
      </c>
      <c r="D41" s="5" t="s">
        <v>8</v>
      </c>
      <c r="E41" s="6">
        <v>606384</v>
      </c>
      <c r="F41" s="6">
        <v>430497</v>
      </c>
      <c r="G41" s="2">
        <v>606384</v>
      </c>
      <c r="H41" s="2">
        <v>430497</v>
      </c>
    </row>
    <row r="42" spans="1:8" x14ac:dyDescent="0.25">
      <c r="A42" s="5">
        <f t="shared" si="0"/>
        <v>41</v>
      </c>
      <c r="B42" s="5" t="s">
        <v>87</v>
      </c>
      <c r="C42" s="5" t="s">
        <v>88</v>
      </c>
      <c r="D42" s="5" t="s">
        <v>8</v>
      </c>
      <c r="E42" s="6">
        <v>708820</v>
      </c>
      <c r="F42" s="6">
        <v>320510</v>
      </c>
      <c r="G42" s="2">
        <v>708820</v>
      </c>
      <c r="H42" s="2">
        <v>320510</v>
      </c>
    </row>
    <row r="43" spans="1:8" ht="30" x14ac:dyDescent="0.25">
      <c r="A43" s="5">
        <f t="shared" si="0"/>
        <v>42</v>
      </c>
      <c r="B43" s="5" t="s">
        <v>89</v>
      </c>
      <c r="C43" s="5" t="s">
        <v>90</v>
      </c>
      <c r="D43" s="5" t="s">
        <v>8</v>
      </c>
      <c r="E43" s="6">
        <v>767127</v>
      </c>
      <c r="F43" s="6">
        <v>232191</v>
      </c>
      <c r="G43" s="2">
        <v>767127</v>
      </c>
      <c r="H43" s="2">
        <v>232191</v>
      </c>
    </row>
    <row r="44" spans="1:8" x14ac:dyDescent="0.25">
      <c r="A44" s="5">
        <f t="shared" si="0"/>
        <v>43</v>
      </c>
      <c r="B44" s="5" t="s">
        <v>91</v>
      </c>
      <c r="C44" s="5" t="s">
        <v>92</v>
      </c>
      <c r="D44" s="5" t="s">
        <v>8</v>
      </c>
      <c r="E44" s="6">
        <v>994121</v>
      </c>
      <c r="F44" s="7">
        <v>0</v>
      </c>
      <c r="G44" s="2">
        <v>994121</v>
      </c>
      <c r="H44" s="3">
        <v>0</v>
      </c>
    </row>
    <row r="45" spans="1:8" x14ac:dyDescent="0.25">
      <c r="A45" s="5">
        <f t="shared" si="0"/>
        <v>44</v>
      </c>
      <c r="B45" s="5" t="s">
        <v>93</v>
      </c>
      <c r="C45" s="5" t="s">
        <v>94</v>
      </c>
      <c r="D45" s="5" t="s">
        <v>8</v>
      </c>
      <c r="E45" s="6">
        <v>173068</v>
      </c>
      <c r="F45" s="6">
        <v>812754</v>
      </c>
      <c r="G45" s="2">
        <v>173068</v>
      </c>
      <c r="H45" s="2">
        <v>812754</v>
      </c>
    </row>
    <row r="46" spans="1:8" x14ac:dyDescent="0.25">
      <c r="A46" s="5">
        <f t="shared" si="0"/>
        <v>45</v>
      </c>
      <c r="B46" s="5" t="s">
        <v>95</v>
      </c>
      <c r="C46" s="5" t="s">
        <v>96</v>
      </c>
      <c r="D46" s="5" t="s">
        <v>8</v>
      </c>
      <c r="E46" s="6">
        <v>649702</v>
      </c>
      <c r="F46" s="6">
        <v>326379</v>
      </c>
      <c r="G46" s="2">
        <v>649702</v>
      </c>
      <c r="H46" s="2">
        <v>326379</v>
      </c>
    </row>
    <row r="47" spans="1:8" x14ac:dyDescent="0.25">
      <c r="A47" s="5">
        <f t="shared" si="0"/>
        <v>46</v>
      </c>
      <c r="B47" s="5" t="s">
        <v>97</v>
      </c>
      <c r="C47" s="5" t="s">
        <v>98</v>
      </c>
      <c r="D47" s="5" t="s">
        <v>8</v>
      </c>
      <c r="E47" s="6">
        <v>593562</v>
      </c>
      <c r="F47" s="6">
        <v>376349</v>
      </c>
      <c r="G47" s="2">
        <v>593562</v>
      </c>
      <c r="H47" s="2">
        <v>376349</v>
      </c>
    </row>
    <row r="48" spans="1:8" x14ac:dyDescent="0.25">
      <c r="A48" s="5">
        <f t="shared" si="0"/>
        <v>47</v>
      </c>
      <c r="B48" s="5" t="s">
        <v>99</v>
      </c>
      <c r="C48" s="5" t="s">
        <v>100</v>
      </c>
      <c r="D48" s="5" t="s">
        <v>8</v>
      </c>
      <c r="E48" s="6">
        <v>487908</v>
      </c>
      <c r="F48" s="6">
        <v>470512</v>
      </c>
      <c r="G48" s="2">
        <v>487908</v>
      </c>
      <c r="H48" s="2">
        <v>470512</v>
      </c>
    </row>
    <row r="49" spans="1:8" x14ac:dyDescent="0.25">
      <c r="A49" s="5">
        <f t="shared" si="0"/>
        <v>48</v>
      </c>
      <c r="B49" s="5" t="s">
        <v>101</v>
      </c>
      <c r="C49" s="5" t="s">
        <v>102</v>
      </c>
      <c r="D49" s="5" t="s">
        <v>8</v>
      </c>
      <c r="E49" s="6">
        <v>951935</v>
      </c>
      <c r="F49" s="7">
        <v>0</v>
      </c>
      <c r="G49" s="2">
        <v>951935</v>
      </c>
      <c r="H49" s="3">
        <v>0</v>
      </c>
    </row>
    <row r="50" spans="1:8" x14ac:dyDescent="0.25">
      <c r="A50" s="5">
        <f t="shared" si="0"/>
        <v>49</v>
      </c>
      <c r="B50" s="5" t="s">
        <v>103</v>
      </c>
      <c r="C50" s="5" t="s">
        <v>104</v>
      </c>
      <c r="D50" s="5" t="s">
        <v>8</v>
      </c>
      <c r="E50" s="6">
        <v>777960</v>
      </c>
      <c r="F50" s="6">
        <v>169605</v>
      </c>
      <c r="G50" s="2">
        <v>777960</v>
      </c>
      <c r="H50" s="2">
        <v>169605</v>
      </c>
    </row>
    <row r="51" spans="1:8" x14ac:dyDescent="0.25">
      <c r="A51" s="5">
        <f t="shared" si="0"/>
        <v>50</v>
      </c>
      <c r="B51" s="5" t="s">
        <v>105</v>
      </c>
      <c r="C51" s="5" t="s">
        <v>106</v>
      </c>
      <c r="D51" s="5" t="s">
        <v>8</v>
      </c>
      <c r="E51" s="6">
        <v>672353</v>
      </c>
      <c r="F51" s="6">
        <v>252209</v>
      </c>
      <c r="G51" s="2">
        <v>672353</v>
      </c>
      <c r="H51" s="2">
        <v>252209</v>
      </c>
    </row>
    <row r="52" spans="1:8" x14ac:dyDescent="0.25">
      <c r="A52" s="5">
        <f t="shared" si="0"/>
        <v>51</v>
      </c>
      <c r="B52" s="5" t="s">
        <v>107</v>
      </c>
      <c r="C52" s="5" t="s">
        <v>108</v>
      </c>
      <c r="D52" s="5" t="s">
        <v>8</v>
      </c>
      <c r="E52" s="6">
        <v>698652</v>
      </c>
      <c r="F52" s="6">
        <v>161190</v>
      </c>
      <c r="G52" s="2">
        <v>698652</v>
      </c>
      <c r="H52" s="2">
        <v>161190</v>
      </c>
    </row>
    <row r="53" spans="1:8" x14ac:dyDescent="0.25">
      <c r="A53" s="5">
        <f t="shared" si="0"/>
        <v>52</v>
      </c>
      <c r="B53" s="5" t="s">
        <v>109</v>
      </c>
      <c r="C53" s="5" t="s">
        <v>110</v>
      </c>
      <c r="D53" s="5" t="s">
        <v>8</v>
      </c>
      <c r="E53" s="6">
        <v>411741</v>
      </c>
      <c r="F53" s="6">
        <v>382842</v>
      </c>
      <c r="G53" s="2">
        <v>411741</v>
      </c>
      <c r="H53" s="2">
        <v>382842</v>
      </c>
    </row>
    <row r="54" spans="1:8" ht="30" x14ac:dyDescent="0.25">
      <c r="A54" s="5">
        <f t="shared" si="0"/>
        <v>53</v>
      </c>
      <c r="B54" s="5" t="s">
        <v>111</v>
      </c>
      <c r="C54" s="5" t="s">
        <v>112</v>
      </c>
      <c r="D54" s="5" t="s">
        <v>8</v>
      </c>
      <c r="E54" s="6">
        <v>242289</v>
      </c>
      <c r="F54" s="6">
        <v>549450</v>
      </c>
      <c r="G54" s="2">
        <v>242289</v>
      </c>
      <c r="H54" s="2">
        <v>549450</v>
      </c>
    </row>
    <row r="55" spans="1:8" x14ac:dyDescent="0.25">
      <c r="A55" s="5">
        <f t="shared" si="0"/>
        <v>54</v>
      </c>
      <c r="B55" s="5" t="s">
        <v>113</v>
      </c>
      <c r="C55" s="5" t="s">
        <v>114</v>
      </c>
      <c r="D55" s="5" t="s">
        <v>8</v>
      </c>
      <c r="E55" s="6">
        <v>220761</v>
      </c>
      <c r="F55" s="6">
        <v>556000</v>
      </c>
      <c r="G55" s="2">
        <v>220761</v>
      </c>
      <c r="H55" s="2">
        <v>556000</v>
      </c>
    </row>
    <row r="56" spans="1:8" x14ac:dyDescent="0.25">
      <c r="A56" s="5">
        <f t="shared" si="0"/>
        <v>55</v>
      </c>
      <c r="B56" s="5" t="s">
        <v>115</v>
      </c>
      <c r="C56" s="5" t="s">
        <v>116</v>
      </c>
      <c r="D56" s="5" t="s">
        <v>8</v>
      </c>
      <c r="E56" s="6">
        <v>309996</v>
      </c>
      <c r="F56" s="6">
        <v>465282</v>
      </c>
      <c r="G56" s="2">
        <v>309996</v>
      </c>
      <c r="H56" s="2">
        <v>465282</v>
      </c>
    </row>
    <row r="57" spans="1:8" x14ac:dyDescent="0.25">
      <c r="A57" s="5">
        <f t="shared" si="0"/>
        <v>56</v>
      </c>
      <c r="B57" s="5" t="s">
        <v>117</v>
      </c>
      <c r="C57" s="5" t="s">
        <v>118</v>
      </c>
      <c r="D57" s="5" t="s">
        <v>8</v>
      </c>
      <c r="E57" s="6">
        <v>773608</v>
      </c>
      <c r="F57" s="7">
        <v>0</v>
      </c>
      <c r="G57" s="2">
        <v>773608</v>
      </c>
      <c r="H57" s="3">
        <v>0</v>
      </c>
    </row>
    <row r="58" spans="1:8" ht="30" x14ac:dyDescent="0.25">
      <c r="A58" s="5">
        <f t="shared" si="0"/>
        <v>57</v>
      </c>
      <c r="B58" s="5" t="s">
        <v>119</v>
      </c>
      <c r="C58" s="5" t="s">
        <v>120</v>
      </c>
      <c r="D58" s="5" t="s">
        <v>8</v>
      </c>
      <c r="E58" s="6">
        <v>668583</v>
      </c>
      <c r="F58" s="6">
        <v>71973</v>
      </c>
      <c r="G58" s="2">
        <v>668583</v>
      </c>
      <c r="H58" s="2">
        <v>71973</v>
      </c>
    </row>
    <row r="59" spans="1:8" x14ac:dyDescent="0.25">
      <c r="A59" s="5">
        <f t="shared" si="0"/>
        <v>58</v>
      </c>
      <c r="B59" s="5" t="s">
        <v>121</v>
      </c>
      <c r="C59" s="5" t="s">
        <v>122</v>
      </c>
      <c r="D59" s="5" t="s">
        <v>8</v>
      </c>
      <c r="E59" s="6">
        <v>375327</v>
      </c>
      <c r="F59" s="6">
        <v>354294</v>
      </c>
      <c r="G59" s="2">
        <v>375327</v>
      </c>
      <c r="H59" s="2">
        <v>354294</v>
      </c>
    </row>
    <row r="60" spans="1:8" x14ac:dyDescent="0.25">
      <c r="A60" s="5">
        <f t="shared" si="0"/>
        <v>59</v>
      </c>
      <c r="B60" s="5" t="s">
        <v>123</v>
      </c>
      <c r="C60" s="5" t="s">
        <v>124</v>
      </c>
      <c r="D60" s="5" t="s">
        <v>8</v>
      </c>
      <c r="E60" s="6">
        <v>588574</v>
      </c>
      <c r="F60" s="6">
        <v>138366</v>
      </c>
      <c r="G60" s="2">
        <v>588574</v>
      </c>
      <c r="H60" s="2">
        <v>138366</v>
      </c>
    </row>
    <row r="61" spans="1:8" x14ac:dyDescent="0.25">
      <c r="A61" s="5">
        <f t="shared" si="0"/>
        <v>60</v>
      </c>
      <c r="B61" s="5" t="s">
        <v>125</v>
      </c>
      <c r="C61" s="5" t="s">
        <v>126</v>
      </c>
      <c r="D61" s="5" t="s">
        <v>8</v>
      </c>
      <c r="E61" s="6">
        <v>433450</v>
      </c>
      <c r="F61" s="6">
        <v>265580</v>
      </c>
      <c r="G61" s="2">
        <v>433450</v>
      </c>
      <c r="H61" s="2">
        <v>265580</v>
      </c>
    </row>
    <row r="62" spans="1:8" ht="30" x14ac:dyDescent="0.25">
      <c r="A62" s="5">
        <f t="shared" si="0"/>
        <v>61</v>
      </c>
      <c r="B62" s="5" t="s">
        <v>127</v>
      </c>
      <c r="C62" s="5" t="s">
        <v>128</v>
      </c>
      <c r="D62" s="5" t="s">
        <v>8</v>
      </c>
      <c r="E62" s="7">
        <v>0</v>
      </c>
      <c r="F62" s="6">
        <v>669010</v>
      </c>
      <c r="G62" s="3">
        <v>0</v>
      </c>
      <c r="H62" s="2">
        <v>669010</v>
      </c>
    </row>
    <row r="63" spans="1:8" x14ac:dyDescent="0.25">
      <c r="A63" s="5">
        <f t="shared" si="0"/>
        <v>62</v>
      </c>
      <c r="B63" s="5" t="s">
        <v>129</v>
      </c>
      <c r="C63" s="5" t="s">
        <v>130</v>
      </c>
      <c r="D63" s="5" t="s">
        <v>8</v>
      </c>
      <c r="E63" s="6">
        <v>636208</v>
      </c>
      <c r="F63" s="6">
        <v>22740</v>
      </c>
      <c r="G63" s="2">
        <v>636208</v>
      </c>
      <c r="H63" s="2">
        <v>22740</v>
      </c>
    </row>
    <row r="64" spans="1:8" x14ac:dyDescent="0.25">
      <c r="A64" s="5">
        <f t="shared" si="0"/>
        <v>63</v>
      </c>
      <c r="B64" s="5" t="s">
        <v>131</v>
      </c>
      <c r="C64" s="5" t="s">
        <v>132</v>
      </c>
      <c r="D64" s="5" t="s">
        <v>8</v>
      </c>
      <c r="E64" s="6">
        <v>531298</v>
      </c>
      <c r="F64" s="6">
        <v>116802</v>
      </c>
      <c r="G64" s="2">
        <v>531298</v>
      </c>
      <c r="H64" s="2">
        <v>116802</v>
      </c>
    </row>
    <row r="65" spans="1:8" x14ac:dyDescent="0.25">
      <c r="A65" s="5">
        <f t="shared" si="0"/>
        <v>64</v>
      </c>
      <c r="B65" s="5" t="s">
        <v>133</v>
      </c>
      <c r="C65" s="5" t="s">
        <v>134</v>
      </c>
      <c r="D65" s="5" t="s">
        <v>8</v>
      </c>
      <c r="E65" s="6">
        <v>542400</v>
      </c>
      <c r="F65" s="6">
        <v>56396</v>
      </c>
      <c r="G65" s="2">
        <v>542400</v>
      </c>
      <c r="H65" s="2">
        <v>56396</v>
      </c>
    </row>
    <row r="66" spans="1:8" x14ac:dyDescent="0.25">
      <c r="A66" s="5">
        <f t="shared" si="0"/>
        <v>65</v>
      </c>
      <c r="B66" s="5" t="s">
        <v>135</v>
      </c>
      <c r="C66" s="5" t="s">
        <v>136</v>
      </c>
      <c r="D66" s="5" t="s">
        <v>8</v>
      </c>
      <c r="E66" s="6">
        <v>271287</v>
      </c>
      <c r="F66" s="6">
        <v>322762</v>
      </c>
      <c r="G66" s="2">
        <v>271287</v>
      </c>
      <c r="H66" s="2">
        <v>322762</v>
      </c>
    </row>
    <row r="67" spans="1:8" x14ac:dyDescent="0.25">
      <c r="A67" s="5">
        <f t="shared" si="0"/>
        <v>66</v>
      </c>
      <c r="B67" s="5" t="s">
        <v>137</v>
      </c>
      <c r="C67" s="5" t="s">
        <v>138</v>
      </c>
      <c r="D67" s="5" t="s">
        <v>8</v>
      </c>
      <c r="E67" s="6">
        <v>549167</v>
      </c>
      <c r="F67" s="6">
        <v>33066</v>
      </c>
      <c r="G67" s="2">
        <v>549167</v>
      </c>
      <c r="H67" s="2">
        <v>33066</v>
      </c>
    </row>
    <row r="68" spans="1:8" x14ac:dyDescent="0.25">
      <c r="A68" s="5">
        <f t="shared" ref="A68:A131" si="1">A67+1</f>
        <v>67</v>
      </c>
      <c r="B68" s="5" t="s">
        <v>139</v>
      </c>
      <c r="C68" s="5" t="s">
        <v>140</v>
      </c>
      <c r="D68" s="5" t="s">
        <v>8</v>
      </c>
      <c r="E68" s="6">
        <v>484425</v>
      </c>
      <c r="F68" s="6">
        <v>90252</v>
      </c>
      <c r="G68" s="2">
        <v>484425</v>
      </c>
      <c r="H68" s="2">
        <v>90252</v>
      </c>
    </row>
    <row r="69" spans="1:8" x14ac:dyDescent="0.25">
      <c r="A69" s="5">
        <f t="shared" si="1"/>
        <v>68</v>
      </c>
      <c r="B69" s="5" t="s">
        <v>141</v>
      </c>
      <c r="C69" s="5" t="s">
        <v>142</v>
      </c>
      <c r="D69" s="5" t="s">
        <v>8</v>
      </c>
      <c r="E69" s="6">
        <v>570033</v>
      </c>
      <c r="F69" s="7">
        <v>0</v>
      </c>
      <c r="G69" s="2">
        <v>570033</v>
      </c>
      <c r="H69" s="3">
        <v>0</v>
      </c>
    </row>
    <row r="70" spans="1:8" x14ac:dyDescent="0.25">
      <c r="A70" s="5">
        <f t="shared" si="1"/>
        <v>69</v>
      </c>
      <c r="B70" s="5" t="s">
        <v>143</v>
      </c>
      <c r="C70" s="5" t="s">
        <v>144</v>
      </c>
      <c r="D70" s="5" t="s">
        <v>8</v>
      </c>
      <c r="E70" s="7">
        <v>0</v>
      </c>
      <c r="F70" s="6">
        <v>566190</v>
      </c>
      <c r="G70" s="3">
        <v>0</v>
      </c>
      <c r="H70" s="2">
        <v>566190</v>
      </c>
    </row>
    <row r="71" spans="1:8" x14ac:dyDescent="0.25">
      <c r="A71" s="5">
        <f t="shared" si="1"/>
        <v>70</v>
      </c>
      <c r="B71" s="5" t="s">
        <v>145</v>
      </c>
      <c r="C71" s="5" t="s">
        <v>146</v>
      </c>
      <c r="D71" s="5" t="s">
        <v>8</v>
      </c>
      <c r="E71" s="6">
        <v>563238</v>
      </c>
      <c r="F71" s="7">
        <v>0</v>
      </c>
      <c r="G71" s="2">
        <v>563238</v>
      </c>
      <c r="H71" s="3">
        <v>0</v>
      </c>
    </row>
    <row r="72" spans="1:8" x14ac:dyDescent="0.25">
      <c r="A72" s="5">
        <f t="shared" si="1"/>
        <v>71</v>
      </c>
      <c r="B72" s="5" t="s">
        <v>147</v>
      </c>
      <c r="C72" s="5" t="s">
        <v>148</v>
      </c>
      <c r="D72" s="5" t="s">
        <v>8</v>
      </c>
      <c r="E72" s="6">
        <v>408382</v>
      </c>
      <c r="F72" s="6">
        <v>152631</v>
      </c>
      <c r="G72" s="2">
        <v>408382</v>
      </c>
      <c r="H72" s="2">
        <v>152631</v>
      </c>
    </row>
    <row r="73" spans="1:8" x14ac:dyDescent="0.25">
      <c r="A73" s="5">
        <f t="shared" si="1"/>
        <v>72</v>
      </c>
      <c r="B73" s="5" t="s">
        <v>149</v>
      </c>
      <c r="C73" s="5" t="s">
        <v>150</v>
      </c>
      <c r="D73" s="5" t="s">
        <v>8</v>
      </c>
      <c r="E73" s="7">
        <v>0</v>
      </c>
      <c r="F73" s="6">
        <v>548784</v>
      </c>
      <c r="G73" s="3">
        <v>0</v>
      </c>
      <c r="H73" s="2">
        <v>548784</v>
      </c>
    </row>
    <row r="74" spans="1:8" x14ac:dyDescent="0.25">
      <c r="A74" s="5">
        <f t="shared" si="1"/>
        <v>73</v>
      </c>
      <c r="B74" s="5" t="s">
        <v>151</v>
      </c>
      <c r="C74" s="5" t="s">
        <v>152</v>
      </c>
      <c r="D74" s="5" t="s">
        <v>8</v>
      </c>
      <c r="E74" s="6">
        <v>240930</v>
      </c>
      <c r="F74" s="6">
        <v>305400</v>
      </c>
      <c r="G74" s="2">
        <v>240930</v>
      </c>
      <c r="H74" s="2">
        <v>305400</v>
      </c>
    </row>
    <row r="75" spans="1:8" x14ac:dyDescent="0.25">
      <c r="A75" s="5">
        <f t="shared" si="1"/>
        <v>74</v>
      </c>
      <c r="B75" s="5" t="s">
        <v>153</v>
      </c>
      <c r="C75" s="5" t="s">
        <v>154</v>
      </c>
      <c r="D75" s="5" t="s">
        <v>8</v>
      </c>
      <c r="E75" s="6">
        <v>449455</v>
      </c>
      <c r="F75" s="6">
        <v>82827</v>
      </c>
      <c r="G75" s="2">
        <v>449455</v>
      </c>
      <c r="H75" s="2">
        <v>82827</v>
      </c>
    </row>
    <row r="76" spans="1:8" x14ac:dyDescent="0.25">
      <c r="A76" s="5">
        <f t="shared" si="1"/>
        <v>75</v>
      </c>
      <c r="B76" s="5" t="s">
        <v>155</v>
      </c>
      <c r="C76" s="5" t="s">
        <v>156</v>
      </c>
      <c r="D76" s="5" t="s">
        <v>8</v>
      </c>
      <c r="E76" s="6">
        <v>530460</v>
      </c>
      <c r="F76" s="7">
        <v>0</v>
      </c>
      <c r="G76" s="2">
        <v>530460</v>
      </c>
      <c r="H76" s="3">
        <v>0</v>
      </c>
    </row>
    <row r="77" spans="1:8" x14ac:dyDescent="0.25">
      <c r="A77" s="5">
        <f t="shared" si="1"/>
        <v>76</v>
      </c>
      <c r="B77" s="5" t="s">
        <v>157</v>
      </c>
      <c r="C77" s="5" t="s">
        <v>158</v>
      </c>
      <c r="D77" s="5" t="s">
        <v>8</v>
      </c>
      <c r="E77" s="6">
        <v>403047</v>
      </c>
      <c r="F77" s="6">
        <v>126576</v>
      </c>
      <c r="G77" s="2">
        <v>403047</v>
      </c>
      <c r="H77" s="2">
        <v>126576</v>
      </c>
    </row>
    <row r="78" spans="1:8" x14ac:dyDescent="0.25">
      <c r="A78" s="5">
        <f t="shared" si="1"/>
        <v>77</v>
      </c>
      <c r="B78" s="5" t="s">
        <v>159</v>
      </c>
      <c r="C78" s="5" t="s">
        <v>160</v>
      </c>
      <c r="D78" s="5" t="s">
        <v>8</v>
      </c>
      <c r="E78" s="6">
        <v>456939</v>
      </c>
      <c r="F78" s="6">
        <v>70650</v>
      </c>
      <c r="G78" s="2">
        <v>456939</v>
      </c>
      <c r="H78" s="2">
        <v>70650</v>
      </c>
    </row>
    <row r="79" spans="1:8" x14ac:dyDescent="0.25">
      <c r="A79" s="5">
        <f t="shared" si="1"/>
        <v>78</v>
      </c>
      <c r="B79" s="5" t="s">
        <v>161</v>
      </c>
      <c r="C79" s="5" t="s">
        <v>162</v>
      </c>
      <c r="D79" s="5" t="s">
        <v>8</v>
      </c>
      <c r="E79" s="6">
        <v>448742</v>
      </c>
      <c r="F79" s="6">
        <v>66890</v>
      </c>
      <c r="G79" s="2">
        <v>448742</v>
      </c>
      <c r="H79" s="2">
        <v>66890</v>
      </c>
    </row>
    <row r="80" spans="1:8" x14ac:dyDescent="0.25">
      <c r="A80" s="5">
        <f t="shared" si="1"/>
        <v>79</v>
      </c>
      <c r="B80" s="5" t="s">
        <v>163</v>
      </c>
      <c r="C80" s="5" t="s">
        <v>164</v>
      </c>
      <c r="D80" s="5" t="s">
        <v>8</v>
      </c>
      <c r="E80" s="6">
        <v>394980</v>
      </c>
      <c r="F80" s="6">
        <v>94760</v>
      </c>
      <c r="G80" s="2">
        <v>394980</v>
      </c>
      <c r="H80" s="2">
        <v>94760</v>
      </c>
    </row>
    <row r="81" spans="1:8" x14ac:dyDescent="0.25">
      <c r="A81" s="5">
        <f t="shared" si="1"/>
        <v>80</v>
      </c>
      <c r="B81" s="5" t="s">
        <v>165</v>
      </c>
      <c r="C81" s="5" t="s">
        <v>166</v>
      </c>
      <c r="D81" s="5" t="s">
        <v>8</v>
      </c>
      <c r="E81" s="6">
        <v>448839</v>
      </c>
      <c r="F81" s="7">
        <v>0</v>
      </c>
      <c r="G81" s="2">
        <v>448839</v>
      </c>
      <c r="H81" s="3">
        <v>0</v>
      </c>
    </row>
    <row r="82" spans="1:8" x14ac:dyDescent="0.25">
      <c r="A82" s="5">
        <f t="shared" si="1"/>
        <v>81</v>
      </c>
      <c r="B82" s="5" t="s">
        <v>167</v>
      </c>
      <c r="C82" s="5" t="s">
        <v>168</v>
      </c>
      <c r="D82" s="5" t="s">
        <v>8</v>
      </c>
      <c r="E82" s="6">
        <v>420353</v>
      </c>
      <c r="F82" s="7">
        <v>0</v>
      </c>
      <c r="G82" s="2">
        <v>420353</v>
      </c>
      <c r="H82" s="3">
        <v>0</v>
      </c>
    </row>
    <row r="83" spans="1:8" x14ac:dyDescent="0.25">
      <c r="A83" s="5">
        <f t="shared" si="1"/>
        <v>82</v>
      </c>
      <c r="B83" s="5" t="s">
        <v>169</v>
      </c>
      <c r="C83" s="5" t="s">
        <v>170</v>
      </c>
      <c r="D83" s="5" t="s">
        <v>8</v>
      </c>
      <c r="E83" s="6">
        <v>413694</v>
      </c>
      <c r="F83" s="7">
        <v>0</v>
      </c>
      <c r="G83" s="2">
        <v>413694</v>
      </c>
      <c r="H83" s="3">
        <v>0</v>
      </c>
    </row>
    <row r="84" spans="1:8" x14ac:dyDescent="0.25">
      <c r="A84" s="5">
        <f t="shared" si="1"/>
        <v>83</v>
      </c>
      <c r="B84" s="5" t="s">
        <v>171</v>
      </c>
      <c r="C84" s="5" t="s">
        <v>172</v>
      </c>
      <c r="D84" s="5" t="s">
        <v>8</v>
      </c>
      <c r="E84" s="6">
        <v>286170</v>
      </c>
      <c r="F84" s="6">
        <v>121180</v>
      </c>
      <c r="G84" s="2">
        <v>286170</v>
      </c>
      <c r="H84" s="2">
        <v>121180</v>
      </c>
    </row>
    <row r="85" spans="1:8" ht="30" x14ac:dyDescent="0.25">
      <c r="A85" s="5">
        <f t="shared" si="1"/>
        <v>84</v>
      </c>
      <c r="B85" s="5" t="s">
        <v>173</v>
      </c>
      <c r="C85" s="5" t="s">
        <v>174</v>
      </c>
      <c r="D85" s="5" t="s">
        <v>8</v>
      </c>
      <c r="E85" s="6">
        <v>352150</v>
      </c>
      <c r="F85" s="7">
        <v>0</v>
      </c>
      <c r="G85" s="2">
        <v>352150</v>
      </c>
      <c r="H85" s="3">
        <v>0</v>
      </c>
    </row>
    <row r="86" spans="1:8" x14ac:dyDescent="0.25">
      <c r="A86" s="5">
        <f t="shared" si="1"/>
        <v>85</v>
      </c>
      <c r="B86" s="5" t="s">
        <v>175</v>
      </c>
      <c r="C86" s="5" t="s">
        <v>176</v>
      </c>
      <c r="D86" s="5" t="s">
        <v>8</v>
      </c>
      <c r="E86" s="6">
        <v>342368</v>
      </c>
      <c r="F86" s="7">
        <v>0</v>
      </c>
      <c r="G86" s="2">
        <v>342368</v>
      </c>
      <c r="H86" s="3">
        <v>0</v>
      </c>
    </row>
    <row r="87" spans="1:8" x14ac:dyDescent="0.25">
      <c r="A87" s="5">
        <f t="shared" si="1"/>
        <v>86</v>
      </c>
      <c r="B87" s="5" t="s">
        <v>177</v>
      </c>
      <c r="C87" s="5" t="s">
        <v>178</v>
      </c>
      <c r="D87" s="5" t="s">
        <v>8</v>
      </c>
      <c r="E87" s="6">
        <v>338750</v>
      </c>
      <c r="F87" s="7">
        <v>0</v>
      </c>
      <c r="G87" s="2">
        <v>338750</v>
      </c>
      <c r="H87" s="3">
        <v>0</v>
      </c>
    </row>
    <row r="88" spans="1:8" x14ac:dyDescent="0.25">
      <c r="A88" s="5">
        <f t="shared" si="1"/>
        <v>87</v>
      </c>
      <c r="B88" s="5" t="s">
        <v>179</v>
      </c>
      <c r="C88" s="5" t="s">
        <v>180</v>
      </c>
      <c r="D88" s="5" t="s">
        <v>8</v>
      </c>
      <c r="E88" s="6">
        <v>327177</v>
      </c>
      <c r="F88" s="7">
        <v>0</v>
      </c>
      <c r="G88" s="2">
        <v>327177</v>
      </c>
      <c r="H88" s="3">
        <v>0</v>
      </c>
    </row>
    <row r="89" spans="1:8" x14ac:dyDescent="0.25">
      <c r="A89" s="5">
        <f t="shared" si="1"/>
        <v>88</v>
      </c>
      <c r="B89" s="5" t="s">
        <v>181</v>
      </c>
      <c r="C89" s="5" t="s">
        <v>182</v>
      </c>
      <c r="D89" s="5" t="s">
        <v>8</v>
      </c>
      <c r="E89" s="6">
        <v>321386</v>
      </c>
      <c r="F89" s="7">
        <v>0</v>
      </c>
      <c r="G89" s="2">
        <v>321386</v>
      </c>
      <c r="H89" s="3">
        <v>0</v>
      </c>
    </row>
    <row r="90" spans="1:8" x14ac:dyDescent="0.25">
      <c r="A90" s="5">
        <f t="shared" si="1"/>
        <v>89</v>
      </c>
      <c r="B90" s="5" t="s">
        <v>183</v>
      </c>
      <c r="C90" s="5" t="s">
        <v>184</v>
      </c>
      <c r="D90" s="5" t="s">
        <v>8</v>
      </c>
      <c r="E90" s="6">
        <v>312150</v>
      </c>
      <c r="F90" s="7">
        <v>0</v>
      </c>
      <c r="G90" s="2">
        <v>312150</v>
      </c>
      <c r="H90" s="3">
        <v>0</v>
      </c>
    </row>
    <row r="91" spans="1:8" ht="30" x14ac:dyDescent="0.25">
      <c r="A91" s="5">
        <f t="shared" si="1"/>
        <v>90</v>
      </c>
      <c r="B91" s="5" t="s">
        <v>185</v>
      </c>
      <c r="C91" s="5" t="s">
        <v>186</v>
      </c>
      <c r="D91" s="5" t="s">
        <v>8</v>
      </c>
      <c r="E91" s="7">
        <v>0</v>
      </c>
      <c r="F91" s="6">
        <v>311535</v>
      </c>
      <c r="G91" s="3">
        <v>0</v>
      </c>
      <c r="H91" s="2">
        <v>311535</v>
      </c>
    </row>
    <row r="92" spans="1:8" ht="30" x14ac:dyDescent="0.25">
      <c r="A92" s="5">
        <f t="shared" si="1"/>
        <v>91</v>
      </c>
      <c r="B92" s="5" t="s">
        <v>187</v>
      </c>
      <c r="C92" s="5" t="s">
        <v>188</v>
      </c>
      <c r="D92" s="5" t="s">
        <v>8</v>
      </c>
      <c r="E92" s="6">
        <v>289044</v>
      </c>
      <c r="F92" s="7">
        <v>0</v>
      </c>
      <c r="G92" s="2">
        <v>289044</v>
      </c>
      <c r="H92" s="3">
        <v>0</v>
      </c>
    </row>
    <row r="93" spans="1:8" x14ac:dyDescent="0.25">
      <c r="A93" s="5">
        <f t="shared" si="1"/>
        <v>92</v>
      </c>
      <c r="B93" s="5" t="s">
        <v>189</v>
      </c>
      <c r="C93" s="5" t="s">
        <v>190</v>
      </c>
      <c r="D93" s="5" t="s">
        <v>8</v>
      </c>
      <c r="E93" s="6">
        <v>167922</v>
      </c>
      <c r="F93" s="6">
        <v>120708</v>
      </c>
      <c r="G93" s="2">
        <v>167922</v>
      </c>
      <c r="H93" s="2">
        <v>120708</v>
      </c>
    </row>
    <row r="94" spans="1:8" x14ac:dyDescent="0.25">
      <c r="A94" s="5">
        <f t="shared" si="1"/>
        <v>93</v>
      </c>
      <c r="B94" s="5" t="s">
        <v>191</v>
      </c>
      <c r="C94" s="5" t="s">
        <v>192</v>
      </c>
      <c r="D94" s="5" t="s">
        <v>8</v>
      </c>
      <c r="E94" s="6">
        <v>194143</v>
      </c>
      <c r="F94" s="6">
        <v>87487</v>
      </c>
      <c r="G94" s="2">
        <v>194143</v>
      </c>
      <c r="H94" s="2">
        <v>87487</v>
      </c>
    </row>
    <row r="95" spans="1:8" x14ac:dyDescent="0.25">
      <c r="A95" s="5">
        <f t="shared" si="1"/>
        <v>94</v>
      </c>
      <c r="B95" s="5" t="s">
        <v>193</v>
      </c>
      <c r="C95" s="5" t="s">
        <v>194</v>
      </c>
      <c r="D95" s="5" t="s">
        <v>8</v>
      </c>
      <c r="E95" s="6">
        <v>201544</v>
      </c>
      <c r="F95" s="6">
        <v>78050</v>
      </c>
      <c r="G95" s="2">
        <v>201544</v>
      </c>
      <c r="H95" s="2">
        <v>78050</v>
      </c>
    </row>
    <row r="96" spans="1:8" x14ac:dyDescent="0.25">
      <c r="A96" s="5">
        <f t="shared" si="1"/>
        <v>95</v>
      </c>
      <c r="B96" s="5" t="s">
        <v>195</v>
      </c>
      <c r="C96" s="5" t="s">
        <v>196</v>
      </c>
      <c r="D96" s="5" t="s">
        <v>8</v>
      </c>
      <c r="E96" s="6">
        <v>277170</v>
      </c>
      <c r="F96" s="7">
        <v>0</v>
      </c>
      <c r="G96" s="2">
        <v>277170</v>
      </c>
      <c r="H96" s="3">
        <v>0</v>
      </c>
    </row>
    <row r="97" spans="1:8" x14ac:dyDescent="0.25">
      <c r="A97" s="5">
        <f t="shared" si="1"/>
        <v>96</v>
      </c>
      <c r="B97" s="5" t="s">
        <v>197</v>
      </c>
      <c r="C97" s="5" t="s">
        <v>198</v>
      </c>
      <c r="D97" s="5" t="s">
        <v>8</v>
      </c>
      <c r="E97" s="6">
        <v>273492</v>
      </c>
      <c r="F97" s="7">
        <v>0</v>
      </c>
      <c r="G97" s="2">
        <v>273492</v>
      </c>
      <c r="H97" s="3">
        <v>0</v>
      </c>
    </row>
    <row r="98" spans="1:8" x14ac:dyDescent="0.25">
      <c r="A98" s="5">
        <f t="shared" si="1"/>
        <v>97</v>
      </c>
      <c r="B98" s="5" t="s">
        <v>199</v>
      </c>
      <c r="C98" s="5" t="s">
        <v>200</v>
      </c>
      <c r="D98" s="5" t="s">
        <v>8</v>
      </c>
      <c r="E98" s="6">
        <v>254889</v>
      </c>
      <c r="F98" s="7">
        <v>0</v>
      </c>
      <c r="G98" s="2">
        <v>254889</v>
      </c>
      <c r="H98" s="3">
        <v>0</v>
      </c>
    </row>
    <row r="99" spans="1:8" x14ac:dyDescent="0.25">
      <c r="A99" s="5">
        <f t="shared" si="1"/>
        <v>98</v>
      </c>
      <c r="B99" s="5" t="s">
        <v>201</v>
      </c>
      <c r="C99" s="5" t="s">
        <v>202</v>
      </c>
      <c r="D99" s="5" t="s">
        <v>8</v>
      </c>
      <c r="E99" s="7">
        <v>0</v>
      </c>
      <c r="F99" s="6">
        <v>246636</v>
      </c>
      <c r="G99" s="3">
        <v>0</v>
      </c>
      <c r="H99" s="2">
        <v>246636</v>
      </c>
    </row>
    <row r="100" spans="1:8" x14ac:dyDescent="0.25">
      <c r="A100" s="5">
        <f t="shared" si="1"/>
        <v>99</v>
      </c>
      <c r="B100" s="5" t="s">
        <v>203</v>
      </c>
      <c r="C100" s="5" t="s">
        <v>204</v>
      </c>
      <c r="D100" s="5" t="s">
        <v>8</v>
      </c>
      <c r="E100" s="6">
        <v>225486</v>
      </c>
      <c r="F100" s="6">
        <v>19377</v>
      </c>
      <c r="G100" s="2">
        <v>225486</v>
      </c>
      <c r="H100" s="2">
        <v>19377</v>
      </c>
    </row>
    <row r="101" spans="1:8" x14ac:dyDescent="0.25">
      <c r="A101" s="5">
        <f t="shared" si="1"/>
        <v>100</v>
      </c>
      <c r="B101" s="5" t="s">
        <v>205</v>
      </c>
      <c r="C101" s="5" t="s">
        <v>206</v>
      </c>
      <c r="D101" s="5" t="s">
        <v>8</v>
      </c>
      <c r="E101" s="6">
        <v>230400</v>
      </c>
      <c r="F101" s="7">
        <v>0</v>
      </c>
      <c r="G101" s="2">
        <v>230400</v>
      </c>
      <c r="H101" s="3">
        <v>0</v>
      </c>
    </row>
    <row r="102" spans="1:8" x14ac:dyDescent="0.25">
      <c r="A102" s="5">
        <f t="shared" si="1"/>
        <v>101</v>
      </c>
      <c r="B102" s="5" t="s">
        <v>207</v>
      </c>
      <c r="C102" s="5" t="s">
        <v>208</v>
      </c>
      <c r="D102" s="5" t="s">
        <v>8</v>
      </c>
      <c r="E102" s="6">
        <v>229410</v>
      </c>
      <c r="F102" s="7">
        <v>0</v>
      </c>
      <c r="G102" s="2">
        <v>229410</v>
      </c>
      <c r="H102" s="3">
        <v>0</v>
      </c>
    </row>
    <row r="103" spans="1:8" x14ac:dyDescent="0.25">
      <c r="A103" s="5">
        <f t="shared" si="1"/>
        <v>102</v>
      </c>
      <c r="B103" s="5" t="s">
        <v>209</v>
      </c>
      <c r="C103" s="5" t="s">
        <v>210</v>
      </c>
      <c r="D103" s="5" t="s">
        <v>8</v>
      </c>
      <c r="E103" s="6">
        <v>226029</v>
      </c>
      <c r="F103" s="7">
        <v>0</v>
      </c>
      <c r="G103" s="2">
        <v>226029</v>
      </c>
      <c r="H103" s="3">
        <v>0</v>
      </c>
    </row>
    <row r="104" spans="1:8" x14ac:dyDescent="0.25">
      <c r="A104" s="5">
        <f t="shared" si="1"/>
        <v>103</v>
      </c>
      <c r="B104" s="5" t="s">
        <v>211</v>
      </c>
      <c r="C104" s="5" t="s">
        <v>212</v>
      </c>
      <c r="D104" s="5" t="s">
        <v>8</v>
      </c>
      <c r="E104" s="6">
        <v>219276</v>
      </c>
      <c r="F104" s="7">
        <v>0</v>
      </c>
      <c r="G104" s="2">
        <v>219276</v>
      </c>
      <c r="H104" s="3">
        <v>0</v>
      </c>
    </row>
    <row r="105" spans="1:8" x14ac:dyDescent="0.25">
      <c r="A105" s="5">
        <f t="shared" si="1"/>
        <v>104</v>
      </c>
      <c r="B105" s="5" t="s">
        <v>213</v>
      </c>
      <c r="C105" s="5" t="s">
        <v>214</v>
      </c>
      <c r="D105" s="5" t="s">
        <v>8</v>
      </c>
      <c r="E105" s="7">
        <v>0</v>
      </c>
      <c r="F105" s="6">
        <v>215388</v>
      </c>
      <c r="G105" s="3">
        <v>0</v>
      </c>
      <c r="H105" s="2">
        <v>215388</v>
      </c>
    </row>
    <row r="106" spans="1:8" x14ac:dyDescent="0.25">
      <c r="A106" s="5">
        <f t="shared" si="1"/>
        <v>105</v>
      </c>
      <c r="B106" s="5" t="s">
        <v>215</v>
      </c>
      <c r="C106" s="5" t="s">
        <v>216</v>
      </c>
      <c r="D106" s="5" t="s">
        <v>8</v>
      </c>
      <c r="E106" s="6">
        <v>57960</v>
      </c>
      <c r="F106" s="6">
        <v>156735</v>
      </c>
      <c r="G106" s="2">
        <v>57960</v>
      </c>
      <c r="H106" s="2">
        <v>156735</v>
      </c>
    </row>
    <row r="107" spans="1:8" x14ac:dyDescent="0.25">
      <c r="A107" s="5">
        <f t="shared" si="1"/>
        <v>106</v>
      </c>
      <c r="B107" s="5" t="s">
        <v>217</v>
      </c>
      <c r="C107" s="5" t="s">
        <v>218</v>
      </c>
      <c r="D107" s="5" t="s">
        <v>8</v>
      </c>
      <c r="E107" s="6">
        <v>210087</v>
      </c>
      <c r="F107" s="7">
        <v>0</v>
      </c>
      <c r="G107" s="2">
        <v>210087</v>
      </c>
      <c r="H107" s="3">
        <v>0</v>
      </c>
    </row>
    <row r="108" spans="1:8" x14ac:dyDescent="0.25">
      <c r="A108" s="5">
        <f t="shared" si="1"/>
        <v>107</v>
      </c>
      <c r="B108" s="5" t="s">
        <v>219</v>
      </c>
      <c r="C108" s="5" t="s">
        <v>220</v>
      </c>
      <c r="D108" s="5" t="s">
        <v>8</v>
      </c>
      <c r="E108" s="6">
        <v>198747</v>
      </c>
      <c r="F108" s="7">
        <v>0</v>
      </c>
      <c r="G108" s="2">
        <v>198747</v>
      </c>
      <c r="H108" s="3">
        <v>0</v>
      </c>
    </row>
    <row r="109" spans="1:8" x14ac:dyDescent="0.25">
      <c r="A109" s="5">
        <f t="shared" si="1"/>
        <v>108</v>
      </c>
      <c r="B109" s="5" t="s">
        <v>221</v>
      </c>
      <c r="C109" s="5" t="s">
        <v>222</v>
      </c>
      <c r="D109" s="5" t="s">
        <v>8</v>
      </c>
      <c r="E109" s="6">
        <v>197660</v>
      </c>
      <c r="F109" s="7">
        <v>0</v>
      </c>
      <c r="G109" s="2">
        <v>197660</v>
      </c>
      <c r="H109" s="3">
        <v>0</v>
      </c>
    </row>
    <row r="110" spans="1:8" x14ac:dyDescent="0.25">
      <c r="A110" s="5">
        <f t="shared" si="1"/>
        <v>109</v>
      </c>
      <c r="B110" s="5" t="s">
        <v>223</v>
      </c>
      <c r="C110" s="5" t="s">
        <v>224</v>
      </c>
      <c r="D110" s="5" t="s">
        <v>8</v>
      </c>
      <c r="E110" s="6">
        <v>38898</v>
      </c>
      <c r="F110" s="6">
        <v>157881</v>
      </c>
      <c r="G110" s="2">
        <v>38898</v>
      </c>
      <c r="H110" s="2">
        <v>157881</v>
      </c>
    </row>
    <row r="111" spans="1:8" x14ac:dyDescent="0.25">
      <c r="A111" s="5">
        <f t="shared" si="1"/>
        <v>110</v>
      </c>
      <c r="B111" s="5" t="s">
        <v>225</v>
      </c>
      <c r="C111" s="5" t="s">
        <v>226</v>
      </c>
      <c r="D111" s="5" t="s">
        <v>8</v>
      </c>
      <c r="E111" s="7">
        <v>0</v>
      </c>
      <c r="F111" s="6">
        <v>194550</v>
      </c>
      <c r="G111" s="3">
        <v>0</v>
      </c>
      <c r="H111" s="2">
        <v>194550</v>
      </c>
    </row>
    <row r="112" spans="1:8" x14ac:dyDescent="0.25">
      <c r="A112" s="5">
        <f t="shared" si="1"/>
        <v>111</v>
      </c>
      <c r="B112" s="5" t="s">
        <v>227</v>
      </c>
      <c r="C112" s="5" t="s">
        <v>228</v>
      </c>
      <c r="D112" s="5" t="s">
        <v>8</v>
      </c>
      <c r="E112" s="6">
        <v>91062</v>
      </c>
      <c r="F112" s="6">
        <v>99702</v>
      </c>
      <c r="G112" s="2">
        <v>91062</v>
      </c>
      <c r="H112" s="2">
        <v>99702</v>
      </c>
    </row>
    <row r="113" spans="1:8" x14ac:dyDescent="0.25">
      <c r="A113" s="5">
        <f t="shared" si="1"/>
        <v>112</v>
      </c>
      <c r="B113" s="5" t="s">
        <v>229</v>
      </c>
      <c r="C113" s="5" t="s">
        <v>230</v>
      </c>
      <c r="D113" s="5" t="s">
        <v>8</v>
      </c>
      <c r="E113" s="6">
        <v>79890</v>
      </c>
      <c r="F113" s="6">
        <v>99210</v>
      </c>
      <c r="G113" s="2">
        <v>79890</v>
      </c>
      <c r="H113" s="2">
        <v>99210</v>
      </c>
    </row>
    <row r="114" spans="1:8" ht="30" x14ac:dyDescent="0.25">
      <c r="A114" s="5">
        <f t="shared" si="1"/>
        <v>113</v>
      </c>
      <c r="B114" s="5" t="s">
        <v>231</v>
      </c>
      <c r="C114" s="5" t="s">
        <v>232</v>
      </c>
      <c r="D114" s="5" t="s">
        <v>8</v>
      </c>
      <c r="E114" s="6">
        <v>80379</v>
      </c>
      <c r="F114" s="6">
        <v>89523</v>
      </c>
      <c r="G114" s="2">
        <v>80379</v>
      </c>
      <c r="H114" s="2">
        <v>89523</v>
      </c>
    </row>
    <row r="115" spans="1:8" x14ac:dyDescent="0.25">
      <c r="A115" s="5">
        <f t="shared" si="1"/>
        <v>114</v>
      </c>
      <c r="B115" s="5" t="s">
        <v>233</v>
      </c>
      <c r="C115" s="5" t="s">
        <v>234</v>
      </c>
      <c r="D115" s="5" t="s">
        <v>8</v>
      </c>
      <c r="E115" s="6">
        <v>160243</v>
      </c>
      <c r="F115" s="7">
        <v>0</v>
      </c>
      <c r="G115" s="2">
        <v>160243</v>
      </c>
      <c r="H115" s="3">
        <v>0</v>
      </c>
    </row>
    <row r="116" spans="1:8" ht="30" x14ac:dyDescent="0.25">
      <c r="A116" s="5">
        <f t="shared" si="1"/>
        <v>115</v>
      </c>
      <c r="B116" s="5" t="s">
        <v>235</v>
      </c>
      <c r="C116" s="5" t="s">
        <v>236</v>
      </c>
      <c r="D116" s="5" t="s">
        <v>8</v>
      </c>
      <c r="E116" s="6">
        <v>145796</v>
      </c>
      <c r="F116" s="7">
        <v>0</v>
      </c>
      <c r="G116" s="2">
        <v>145796</v>
      </c>
      <c r="H116" s="3">
        <v>0</v>
      </c>
    </row>
    <row r="117" spans="1:8" x14ac:dyDescent="0.25">
      <c r="A117" s="5">
        <f t="shared" si="1"/>
        <v>116</v>
      </c>
      <c r="B117" s="5" t="s">
        <v>237</v>
      </c>
      <c r="C117" s="5" t="s">
        <v>238</v>
      </c>
      <c r="D117" s="5" t="s">
        <v>8</v>
      </c>
      <c r="E117" s="6">
        <v>144972</v>
      </c>
      <c r="F117" s="7">
        <v>0</v>
      </c>
      <c r="G117" s="2">
        <v>144972</v>
      </c>
      <c r="H117" s="3">
        <v>0</v>
      </c>
    </row>
    <row r="118" spans="1:8" x14ac:dyDescent="0.25">
      <c r="A118" s="5">
        <f t="shared" si="1"/>
        <v>117</v>
      </c>
      <c r="B118" s="5" t="s">
        <v>239</v>
      </c>
      <c r="C118" s="5" t="s">
        <v>240</v>
      </c>
      <c r="D118" s="5" t="s">
        <v>8</v>
      </c>
      <c r="E118" s="6">
        <v>126750</v>
      </c>
      <c r="F118" s="7">
        <v>0</v>
      </c>
      <c r="G118" s="2">
        <v>126750</v>
      </c>
      <c r="H118" s="3">
        <v>0</v>
      </c>
    </row>
    <row r="119" spans="1:8" x14ac:dyDescent="0.25">
      <c r="A119" s="5">
        <f t="shared" si="1"/>
        <v>118</v>
      </c>
      <c r="B119" s="5" t="s">
        <v>241</v>
      </c>
      <c r="C119" s="5" t="s">
        <v>242</v>
      </c>
      <c r="D119" s="5" t="s">
        <v>8</v>
      </c>
      <c r="E119" s="6">
        <v>120420</v>
      </c>
      <c r="F119" s="7">
        <v>0</v>
      </c>
      <c r="G119" s="2">
        <v>120420</v>
      </c>
      <c r="H119" s="3">
        <v>0</v>
      </c>
    </row>
    <row r="120" spans="1:8" x14ac:dyDescent="0.25">
      <c r="A120" s="5">
        <f t="shared" si="1"/>
        <v>119</v>
      </c>
      <c r="B120" s="5" t="s">
        <v>243</v>
      </c>
      <c r="C120" s="5" t="s">
        <v>244</v>
      </c>
      <c r="D120" s="5" t="s">
        <v>8</v>
      </c>
      <c r="E120" s="6">
        <v>107424</v>
      </c>
      <c r="F120" s="7">
        <v>0</v>
      </c>
      <c r="G120" s="2">
        <v>107424</v>
      </c>
      <c r="H120" s="3">
        <v>0</v>
      </c>
    </row>
    <row r="121" spans="1:8" x14ac:dyDescent="0.25">
      <c r="A121" s="5">
        <f t="shared" si="1"/>
        <v>120</v>
      </c>
      <c r="B121" s="5" t="s">
        <v>245</v>
      </c>
      <c r="C121" s="5" t="s">
        <v>246</v>
      </c>
      <c r="D121" s="5" t="s">
        <v>8</v>
      </c>
      <c r="E121" s="6">
        <v>81350</v>
      </c>
      <c r="F121" s="6">
        <v>13990</v>
      </c>
      <c r="G121" s="2">
        <v>81350</v>
      </c>
      <c r="H121" s="2">
        <v>13990</v>
      </c>
    </row>
    <row r="122" spans="1:8" x14ac:dyDescent="0.25">
      <c r="A122" s="5">
        <f t="shared" si="1"/>
        <v>121</v>
      </c>
      <c r="B122" s="5" t="s">
        <v>247</v>
      </c>
      <c r="C122" s="5" t="s">
        <v>248</v>
      </c>
      <c r="D122" s="5" t="s">
        <v>8</v>
      </c>
      <c r="E122" s="6">
        <v>93670</v>
      </c>
      <c r="F122" s="7">
        <v>0</v>
      </c>
      <c r="G122" s="2">
        <v>93670</v>
      </c>
      <c r="H122" s="3">
        <v>0</v>
      </c>
    </row>
    <row r="123" spans="1:8" x14ac:dyDescent="0.25">
      <c r="A123" s="5">
        <f t="shared" si="1"/>
        <v>122</v>
      </c>
      <c r="B123" s="5" t="s">
        <v>249</v>
      </c>
      <c r="C123" s="5" t="s">
        <v>250</v>
      </c>
      <c r="D123" s="5" t="s">
        <v>8</v>
      </c>
      <c r="E123" s="6">
        <v>93591</v>
      </c>
      <c r="F123" s="7">
        <v>0</v>
      </c>
      <c r="G123" s="2">
        <v>93591</v>
      </c>
      <c r="H123" s="3">
        <v>0</v>
      </c>
    </row>
    <row r="124" spans="1:8" x14ac:dyDescent="0.25">
      <c r="A124" s="5">
        <f t="shared" si="1"/>
        <v>123</v>
      </c>
      <c r="B124" s="5" t="s">
        <v>251</v>
      </c>
      <c r="C124" s="5" t="s">
        <v>252</v>
      </c>
      <c r="D124" s="5" t="s">
        <v>8</v>
      </c>
      <c r="E124" s="6">
        <v>82530</v>
      </c>
      <c r="F124" s="7">
        <v>0</v>
      </c>
      <c r="G124" s="2">
        <v>82530</v>
      </c>
      <c r="H124" s="3">
        <v>0</v>
      </c>
    </row>
    <row r="125" spans="1:8" x14ac:dyDescent="0.25">
      <c r="A125" s="5">
        <f t="shared" si="1"/>
        <v>124</v>
      </c>
      <c r="B125" s="5" t="s">
        <v>253</v>
      </c>
      <c r="C125" s="5" t="s">
        <v>254</v>
      </c>
      <c r="D125" s="5" t="s">
        <v>8</v>
      </c>
      <c r="E125" s="6">
        <v>81220</v>
      </c>
      <c r="F125" s="7">
        <v>0</v>
      </c>
      <c r="G125" s="2">
        <v>81220</v>
      </c>
      <c r="H125" s="3">
        <v>0</v>
      </c>
    </row>
    <row r="126" spans="1:8" x14ac:dyDescent="0.25">
      <c r="A126" s="5">
        <f t="shared" si="1"/>
        <v>125</v>
      </c>
      <c r="B126" s="5" t="s">
        <v>255</v>
      </c>
      <c r="C126" s="5" t="s">
        <v>256</v>
      </c>
      <c r="D126" s="5" t="s">
        <v>8</v>
      </c>
      <c r="E126" s="7">
        <v>0</v>
      </c>
      <c r="F126" s="6">
        <v>75070</v>
      </c>
      <c r="G126" s="3">
        <v>0</v>
      </c>
      <c r="H126" s="2">
        <v>75070</v>
      </c>
    </row>
    <row r="127" spans="1:8" x14ac:dyDescent="0.25">
      <c r="A127" s="5">
        <f t="shared" si="1"/>
        <v>126</v>
      </c>
      <c r="B127" s="5" t="s">
        <v>257</v>
      </c>
      <c r="C127" s="5" t="s">
        <v>258</v>
      </c>
      <c r="D127" s="5" t="s">
        <v>8</v>
      </c>
      <c r="E127" s="6">
        <v>74191</v>
      </c>
      <c r="F127" s="7">
        <v>0</v>
      </c>
      <c r="G127" s="2">
        <v>74191</v>
      </c>
      <c r="H127" s="3">
        <v>0</v>
      </c>
    </row>
    <row r="128" spans="1:8" x14ac:dyDescent="0.25">
      <c r="A128" s="5">
        <f t="shared" si="1"/>
        <v>127</v>
      </c>
      <c r="B128" s="5" t="s">
        <v>259</v>
      </c>
      <c r="C128" s="5" t="s">
        <v>260</v>
      </c>
      <c r="D128" s="5" t="s">
        <v>8</v>
      </c>
      <c r="E128" s="7">
        <v>0</v>
      </c>
      <c r="F128" s="6">
        <v>71955</v>
      </c>
      <c r="G128" s="3">
        <v>0</v>
      </c>
      <c r="H128" s="2">
        <v>71955</v>
      </c>
    </row>
    <row r="129" spans="1:8" x14ac:dyDescent="0.25">
      <c r="A129" s="5">
        <f t="shared" si="1"/>
        <v>128</v>
      </c>
      <c r="B129" s="5" t="s">
        <v>261</v>
      </c>
      <c r="C129" s="5" t="s">
        <v>262</v>
      </c>
      <c r="D129" s="5" t="s">
        <v>8</v>
      </c>
      <c r="E129" s="6">
        <v>55110</v>
      </c>
      <c r="F129" s="6">
        <v>16350</v>
      </c>
      <c r="G129" s="2">
        <v>55110</v>
      </c>
      <c r="H129" s="2">
        <v>16350</v>
      </c>
    </row>
    <row r="130" spans="1:8" ht="30" x14ac:dyDescent="0.25">
      <c r="A130" s="5">
        <f t="shared" si="1"/>
        <v>129</v>
      </c>
      <c r="B130" s="5" t="s">
        <v>263</v>
      </c>
      <c r="C130" s="5" t="s">
        <v>264</v>
      </c>
      <c r="D130" s="5" t="s">
        <v>8</v>
      </c>
      <c r="E130" s="6">
        <v>60840</v>
      </c>
      <c r="F130" s="7">
        <v>0</v>
      </c>
      <c r="G130" s="2">
        <v>60840</v>
      </c>
      <c r="H130" s="3">
        <v>0</v>
      </c>
    </row>
    <row r="131" spans="1:8" x14ac:dyDescent="0.25">
      <c r="A131" s="5">
        <f t="shared" si="1"/>
        <v>130</v>
      </c>
      <c r="B131" s="5" t="s">
        <v>265</v>
      </c>
      <c r="C131" s="5" t="s">
        <v>266</v>
      </c>
      <c r="D131" s="5" t="s">
        <v>8</v>
      </c>
      <c r="E131" s="6">
        <v>44478</v>
      </c>
      <c r="F131" s="7">
        <v>0</v>
      </c>
      <c r="G131" s="2">
        <v>44478</v>
      </c>
      <c r="H131" s="3">
        <v>0</v>
      </c>
    </row>
    <row r="132" spans="1:8" x14ac:dyDescent="0.25">
      <c r="A132" s="5">
        <f t="shared" ref="A132:A161" si="2">A131+1</f>
        <v>131</v>
      </c>
      <c r="B132" s="5" t="s">
        <v>267</v>
      </c>
      <c r="C132" s="5" t="s">
        <v>268</v>
      </c>
      <c r="D132" s="5" t="s">
        <v>8</v>
      </c>
      <c r="E132" s="6">
        <v>44001</v>
      </c>
      <c r="F132" s="7">
        <v>0</v>
      </c>
      <c r="G132" s="2">
        <v>44001</v>
      </c>
      <c r="H132" s="3">
        <v>0</v>
      </c>
    </row>
    <row r="133" spans="1:8" x14ac:dyDescent="0.25">
      <c r="A133" s="5">
        <f t="shared" si="2"/>
        <v>132</v>
      </c>
      <c r="B133" s="5" t="s">
        <v>269</v>
      </c>
      <c r="C133" s="5" t="s">
        <v>270</v>
      </c>
      <c r="D133" s="5" t="s">
        <v>8</v>
      </c>
      <c r="E133" s="6">
        <v>25128</v>
      </c>
      <c r="F133" s="7">
        <v>0</v>
      </c>
      <c r="G133" s="2">
        <v>25128</v>
      </c>
      <c r="H133" s="3">
        <v>0</v>
      </c>
    </row>
    <row r="134" spans="1:8" x14ac:dyDescent="0.25">
      <c r="A134" s="5">
        <f t="shared" si="2"/>
        <v>133</v>
      </c>
      <c r="B134" s="5" t="s">
        <v>271</v>
      </c>
      <c r="C134" s="5" t="s">
        <v>272</v>
      </c>
      <c r="D134" s="5" t="s">
        <v>8</v>
      </c>
      <c r="E134" s="6">
        <v>21470</v>
      </c>
      <c r="F134" s="7">
        <v>0</v>
      </c>
      <c r="G134" s="2">
        <v>21470</v>
      </c>
      <c r="H134" s="3">
        <v>0</v>
      </c>
    </row>
    <row r="135" spans="1:8" x14ac:dyDescent="0.25">
      <c r="A135" s="5">
        <f t="shared" si="2"/>
        <v>134</v>
      </c>
      <c r="B135" s="5" t="s">
        <v>273</v>
      </c>
      <c r="C135" s="5" t="s">
        <v>274</v>
      </c>
      <c r="D135" s="5" t="s">
        <v>8</v>
      </c>
      <c r="E135" s="6">
        <v>19960</v>
      </c>
      <c r="F135" s="7">
        <v>0</v>
      </c>
      <c r="G135" s="2">
        <v>19960</v>
      </c>
      <c r="H135" s="3">
        <v>0</v>
      </c>
    </row>
    <row r="136" spans="1:8" x14ac:dyDescent="0.25">
      <c r="A136" s="5">
        <f t="shared" si="2"/>
        <v>135</v>
      </c>
      <c r="B136" s="5" t="s">
        <v>275</v>
      </c>
      <c r="C136" s="5" t="s">
        <v>276</v>
      </c>
      <c r="D136" s="5" t="s">
        <v>8</v>
      </c>
      <c r="E136" s="6">
        <v>13380</v>
      </c>
      <c r="F136" s="7">
        <v>0</v>
      </c>
      <c r="G136" s="2">
        <v>13380</v>
      </c>
      <c r="H136" s="3">
        <v>0</v>
      </c>
    </row>
    <row r="137" spans="1:8" x14ac:dyDescent="0.25">
      <c r="A137" s="10">
        <f t="shared" si="2"/>
        <v>136</v>
      </c>
      <c r="B137" s="10" t="s">
        <v>277</v>
      </c>
      <c r="C137" s="10" t="s">
        <v>278</v>
      </c>
      <c r="D137" s="10" t="s">
        <v>8</v>
      </c>
      <c r="E137" s="8">
        <v>0</v>
      </c>
      <c r="F137" s="7">
        <v>0</v>
      </c>
      <c r="G137" s="9"/>
      <c r="H137" s="9"/>
    </row>
    <row r="138" spans="1:8" x14ac:dyDescent="0.25">
      <c r="A138" s="10">
        <f t="shared" si="2"/>
        <v>137</v>
      </c>
      <c r="B138" s="10" t="s">
        <v>279</v>
      </c>
      <c r="C138" s="10" t="s">
        <v>280</v>
      </c>
      <c r="D138" s="10" t="s">
        <v>8</v>
      </c>
      <c r="E138" s="8">
        <v>0</v>
      </c>
      <c r="F138" s="7">
        <v>0</v>
      </c>
      <c r="G138" s="9"/>
      <c r="H138" s="9"/>
    </row>
    <row r="139" spans="1:8" x14ac:dyDescent="0.25">
      <c r="A139" s="10">
        <f t="shared" si="2"/>
        <v>138</v>
      </c>
      <c r="B139" s="10" t="s">
        <v>281</v>
      </c>
      <c r="C139" s="10" t="s">
        <v>282</v>
      </c>
      <c r="D139" s="10" t="s">
        <v>8</v>
      </c>
      <c r="E139" s="8">
        <v>0</v>
      </c>
      <c r="F139" s="7">
        <v>0</v>
      </c>
      <c r="G139" s="9"/>
      <c r="H139" s="9"/>
    </row>
    <row r="140" spans="1:8" x14ac:dyDescent="0.25">
      <c r="A140" s="10">
        <f t="shared" si="2"/>
        <v>139</v>
      </c>
      <c r="B140" s="10" t="s">
        <v>283</v>
      </c>
      <c r="C140" s="10" t="s">
        <v>284</v>
      </c>
      <c r="D140" s="10" t="s">
        <v>8</v>
      </c>
      <c r="E140" s="8">
        <v>0</v>
      </c>
      <c r="F140" s="7">
        <v>0</v>
      </c>
      <c r="G140" s="9"/>
      <c r="H140" s="9"/>
    </row>
    <row r="141" spans="1:8" x14ac:dyDescent="0.25">
      <c r="A141" s="10">
        <f t="shared" si="2"/>
        <v>140</v>
      </c>
      <c r="B141" s="10" t="s">
        <v>285</v>
      </c>
      <c r="C141" s="10" t="s">
        <v>286</v>
      </c>
      <c r="D141" s="10" t="s">
        <v>8</v>
      </c>
      <c r="E141" s="8">
        <v>0</v>
      </c>
      <c r="F141" s="7">
        <v>0</v>
      </c>
      <c r="G141" s="9"/>
      <c r="H141" s="9"/>
    </row>
    <row r="142" spans="1:8" x14ac:dyDescent="0.25">
      <c r="A142" s="10">
        <f t="shared" si="2"/>
        <v>141</v>
      </c>
      <c r="B142" s="10" t="s">
        <v>287</v>
      </c>
      <c r="C142" s="10" t="s">
        <v>288</v>
      </c>
      <c r="D142" s="10" t="s">
        <v>8</v>
      </c>
      <c r="E142" s="8">
        <v>0</v>
      </c>
      <c r="F142" s="7">
        <v>0</v>
      </c>
      <c r="G142" s="9"/>
      <c r="H142" s="9"/>
    </row>
    <row r="143" spans="1:8" x14ac:dyDescent="0.25">
      <c r="A143" s="10">
        <f t="shared" si="2"/>
        <v>142</v>
      </c>
      <c r="B143" s="10" t="s">
        <v>289</v>
      </c>
      <c r="C143" s="10" t="s">
        <v>290</v>
      </c>
      <c r="D143" s="10" t="s">
        <v>8</v>
      </c>
      <c r="E143" s="8">
        <v>0</v>
      </c>
      <c r="F143" s="7">
        <v>0</v>
      </c>
      <c r="G143" s="9"/>
      <c r="H143" s="9"/>
    </row>
    <row r="144" spans="1:8" ht="30" x14ac:dyDescent="0.25">
      <c r="A144" s="10">
        <f t="shared" si="2"/>
        <v>143</v>
      </c>
      <c r="B144" s="10" t="s">
        <v>291</v>
      </c>
      <c r="C144" s="10" t="s">
        <v>292</v>
      </c>
      <c r="D144" s="10" t="s">
        <v>8</v>
      </c>
      <c r="E144" s="8">
        <v>0</v>
      </c>
      <c r="F144" s="7">
        <v>0</v>
      </c>
      <c r="G144" s="9"/>
      <c r="H144" s="9"/>
    </row>
    <row r="145" spans="1:8" x14ac:dyDescent="0.25">
      <c r="A145" s="10">
        <f t="shared" si="2"/>
        <v>144</v>
      </c>
      <c r="B145" s="10" t="s">
        <v>293</v>
      </c>
      <c r="C145" s="10" t="s">
        <v>294</v>
      </c>
      <c r="D145" s="10" t="s">
        <v>8</v>
      </c>
      <c r="E145" s="8">
        <v>0</v>
      </c>
      <c r="F145" s="7">
        <v>0</v>
      </c>
      <c r="G145" s="9"/>
      <c r="H145" s="9"/>
    </row>
    <row r="146" spans="1:8" x14ac:dyDescent="0.25">
      <c r="A146" s="10">
        <f t="shared" si="2"/>
        <v>145</v>
      </c>
      <c r="B146" s="10" t="s">
        <v>295</v>
      </c>
      <c r="C146" s="10" t="s">
        <v>296</v>
      </c>
      <c r="D146" s="10" t="s">
        <v>8</v>
      </c>
      <c r="E146" s="8">
        <v>0</v>
      </c>
      <c r="F146" s="7">
        <v>0</v>
      </c>
      <c r="G146" s="9"/>
      <c r="H146" s="9"/>
    </row>
    <row r="147" spans="1:8" x14ac:dyDescent="0.25">
      <c r="A147" s="10">
        <f t="shared" si="2"/>
        <v>146</v>
      </c>
      <c r="B147" s="10" t="s">
        <v>297</v>
      </c>
      <c r="C147" s="10" t="s">
        <v>298</v>
      </c>
      <c r="D147" s="10" t="s">
        <v>8</v>
      </c>
      <c r="E147" s="8">
        <v>0</v>
      </c>
      <c r="F147" s="7">
        <v>0</v>
      </c>
      <c r="G147" s="9"/>
      <c r="H147" s="9"/>
    </row>
    <row r="148" spans="1:8" x14ac:dyDescent="0.25">
      <c r="A148" s="10">
        <f t="shared" si="2"/>
        <v>147</v>
      </c>
      <c r="B148" s="10" t="s">
        <v>299</v>
      </c>
      <c r="C148" s="10" t="s">
        <v>300</v>
      </c>
      <c r="D148" s="10" t="s">
        <v>8</v>
      </c>
      <c r="E148" s="8">
        <v>0</v>
      </c>
      <c r="F148" s="7">
        <v>0</v>
      </c>
      <c r="G148" s="9"/>
      <c r="H148" s="9"/>
    </row>
    <row r="149" spans="1:8" x14ac:dyDescent="0.25">
      <c r="A149" s="10">
        <f t="shared" si="2"/>
        <v>148</v>
      </c>
      <c r="B149" s="10" t="s">
        <v>301</v>
      </c>
      <c r="C149" s="10" t="s">
        <v>302</v>
      </c>
      <c r="D149" s="10" t="s">
        <v>8</v>
      </c>
      <c r="E149" s="8">
        <v>0</v>
      </c>
      <c r="F149" s="7">
        <v>0</v>
      </c>
      <c r="G149" s="9"/>
      <c r="H149" s="9"/>
    </row>
    <row r="150" spans="1:8" x14ac:dyDescent="0.25">
      <c r="A150" s="10">
        <f t="shared" si="2"/>
        <v>149</v>
      </c>
      <c r="B150" s="10" t="s">
        <v>303</v>
      </c>
      <c r="C150" s="10" t="s">
        <v>304</v>
      </c>
      <c r="D150" s="10" t="s">
        <v>8</v>
      </c>
      <c r="E150" s="8">
        <v>0</v>
      </c>
      <c r="F150" s="7">
        <v>0</v>
      </c>
      <c r="G150" s="9"/>
      <c r="H150" s="9"/>
    </row>
    <row r="151" spans="1:8" x14ac:dyDescent="0.25">
      <c r="A151" s="10">
        <f t="shared" si="2"/>
        <v>150</v>
      </c>
      <c r="B151" s="10" t="s">
        <v>305</v>
      </c>
      <c r="C151" s="10" t="s">
        <v>306</v>
      </c>
      <c r="D151" s="10" t="s">
        <v>8</v>
      </c>
      <c r="E151" s="8">
        <v>0</v>
      </c>
      <c r="F151" s="7">
        <v>0</v>
      </c>
      <c r="G151" s="9"/>
      <c r="H151" s="9"/>
    </row>
    <row r="152" spans="1:8" x14ac:dyDescent="0.25">
      <c r="A152" s="10">
        <f t="shared" si="2"/>
        <v>151</v>
      </c>
      <c r="B152" s="10" t="s">
        <v>307</v>
      </c>
      <c r="C152" s="10" t="s">
        <v>308</v>
      </c>
      <c r="D152" s="10" t="s">
        <v>8</v>
      </c>
      <c r="E152" s="8">
        <v>0</v>
      </c>
      <c r="F152" s="7">
        <v>0</v>
      </c>
      <c r="G152" s="9"/>
      <c r="H152" s="9"/>
    </row>
    <row r="153" spans="1:8" x14ac:dyDescent="0.25">
      <c r="A153" s="10">
        <f t="shared" si="2"/>
        <v>152</v>
      </c>
      <c r="B153" s="10" t="s">
        <v>309</v>
      </c>
      <c r="C153" s="10" t="s">
        <v>310</v>
      </c>
      <c r="D153" s="10" t="s">
        <v>8</v>
      </c>
      <c r="E153" s="8">
        <v>0</v>
      </c>
      <c r="F153" s="7">
        <v>0</v>
      </c>
      <c r="G153" s="9"/>
      <c r="H153" s="9"/>
    </row>
    <row r="154" spans="1:8" x14ac:dyDescent="0.25">
      <c r="A154" s="10">
        <f t="shared" si="2"/>
        <v>153</v>
      </c>
      <c r="B154" s="10" t="s">
        <v>311</v>
      </c>
      <c r="C154" s="10" t="s">
        <v>312</v>
      </c>
      <c r="D154" s="10" t="s">
        <v>8</v>
      </c>
      <c r="E154" s="8">
        <v>0</v>
      </c>
      <c r="F154" s="7">
        <v>0</v>
      </c>
      <c r="G154" s="9"/>
      <c r="H154" s="9"/>
    </row>
    <row r="155" spans="1:8" x14ac:dyDescent="0.25">
      <c r="A155" s="10">
        <f t="shared" si="2"/>
        <v>154</v>
      </c>
      <c r="B155" s="10" t="s">
        <v>313</v>
      </c>
      <c r="C155" s="10" t="s">
        <v>314</v>
      </c>
      <c r="D155" s="10" t="s">
        <v>8</v>
      </c>
      <c r="E155" s="8">
        <v>0</v>
      </c>
      <c r="F155" s="7">
        <v>0</v>
      </c>
      <c r="G155" s="9"/>
      <c r="H155" s="9"/>
    </row>
    <row r="156" spans="1:8" x14ac:dyDescent="0.25">
      <c r="A156" s="10">
        <f t="shared" si="2"/>
        <v>155</v>
      </c>
      <c r="B156" s="10" t="s">
        <v>315</v>
      </c>
      <c r="C156" s="10" t="s">
        <v>316</v>
      </c>
      <c r="D156" s="10" t="s">
        <v>8</v>
      </c>
      <c r="E156" s="8">
        <v>0</v>
      </c>
      <c r="F156" s="7">
        <v>0</v>
      </c>
      <c r="G156" s="9"/>
      <c r="H156" s="9"/>
    </row>
    <row r="157" spans="1:8" x14ac:dyDescent="0.25">
      <c r="A157" s="10">
        <f t="shared" si="2"/>
        <v>156</v>
      </c>
      <c r="B157" s="10" t="s">
        <v>317</v>
      </c>
      <c r="C157" s="10" t="s">
        <v>318</v>
      </c>
      <c r="D157" s="10" t="s">
        <v>8</v>
      </c>
      <c r="E157" s="8">
        <v>0</v>
      </c>
      <c r="F157" s="7">
        <v>0</v>
      </c>
      <c r="G157" s="9"/>
      <c r="H157" s="9"/>
    </row>
    <row r="158" spans="1:8" x14ac:dyDescent="0.25">
      <c r="A158" s="10">
        <f t="shared" si="2"/>
        <v>157</v>
      </c>
      <c r="B158" s="10" t="s">
        <v>319</v>
      </c>
      <c r="C158" s="10" t="s">
        <v>320</v>
      </c>
      <c r="D158" s="10" t="s">
        <v>8</v>
      </c>
      <c r="E158" s="8">
        <v>0</v>
      </c>
      <c r="F158" s="7">
        <v>0</v>
      </c>
      <c r="G158" s="9"/>
      <c r="H158" s="9"/>
    </row>
    <row r="159" spans="1:8" ht="30" x14ac:dyDescent="0.25">
      <c r="A159" s="10">
        <f t="shared" si="2"/>
        <v>158</v>
      </c>
      <c r="B159" s="10" t="s">
        <v>321</v>
      </c>
      <c r="C159" s="10" t="s">
        <v>322</v>
      </c>
      <c r="D159" s="10" t="s">
        <v>8</v>
      </c>
      <c r="E159" s="8">
        <v>0</v>
      </c>
      <c r="F159" s="7">
        <v>0</v>
      </c>
      <c r="G159" s="9"/>
      <c r="H159" s="9"/>
    </row>
    <row r="160" spans="1:8" x14ac:dyDescent="0.25">
      <c r="A160" s="10">
        <f t="shared" si="2"/>
        <v>159</v>
      </c>
      <c r="B160" s="10" t="s">
        <v>323</v>
      </c>
      <c r="C160" s="10" t="s">
        <v>324</v>
      </c>
      <c r="D160" s="10" t="s">
        <v>8</v>
      </c>
      <c r="E160" s="8">
        <v>0</v>
      </c>
      <c r="F160" s="7">
        <v>0</v>
      </c>
      <c r="G160" s="9"/>
      <c r="H160" s="9"/>
    </row>
    <row r="161" spans="1:8" x14ac:dyDescent="0.25">
      <c r="A161" s="10">
        <f t="shared" si="2"/>
        <v>160</v>
      </c>
      <c r="B161" s="10" t="s">
        <v>325</v>
      </c>
      <c r="C161" s="10" t="s">
        <v>326</v>
      </c>
      <c r="D161" s="10" t="s">
        <v>8</v>
      </c>
      <c r="E161" s="8">
        <v>0</v>
      </c>
      <c r="F161" s="7">
        <v>0</v>
      </c>
      <c r="G161" s="9"/>
      <c r="H161" s="9"/>
    </row>
  </sheetData>
  <autoFilter ref="A1:F161"/>
  <conditionalFormatting sqref="B1:B1048576">
    <cfRule type="duplicateValues" dxfId="0" priority="1"/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Reporte-Ventas-EvolucionPorClie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TRABAJO</dc:creator>
  <cp:lastModifiedBy>TRABAJO</cp:lastModifiedBy>
  <dcterms:created xsi:type="dcterms:W3CDTF">2026-02-17T13:57:15Z</dcterms:created>
  <dcterms:modified xsi:type="dcterms:W3CDTF">2026-02-17T13:57:15Z</dcterms:modified>
</cp:coreProperties>
</file>