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ABAJO\Downloads\"/>
    </mc:Choice>
  </mc:AlternateContent>
  <bookViews>
    <workbookView xWindow="0" yWindow="0" windowWidth="28800" windowHeight="12435"/>
  </bookViews>
  <sheets>
    <sheet name="Reporte-Ventas-EvolucionPorClie" sheetId="1" r:id="rId1"/>
    <sheet name="Hoja1" sheetId="2" r:id="rId2"/>
  </sheets>
  <definedNames>
    <definedName name="_xlnm._FilterDatabase" localSheetId="0" hidden="1">'Reporte-Ventas-EvolucionPorClie'!$A$1:$T$84</definedName>
    <definedName name="div_reportes" localSheetId="0">'Reporte-Ventas-EvolucionPorClie'!#REF!</definedName>
  </definedNames>
  <calcPr calcId="152511"/>
</workbook>
</file>

<file path=xl/calcChain.xml><?xml version="1.0" encoding="utf-8"?>
<calcChain xmlns="http://schemas.openxmlformats.org/spreadsheetml/2006/main">
  <c r="W57" i="1" l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2" i="1"/>
  <c r="R3" i="1" l="1"/>
  <c r="S3" i="1" s="1"/>
  <c r="R4" i="1"/>
  <c r="S4" i="1"/>
  <c r="R5" i="1"/>
  <c r="S5" i="1" s="1"/>
  <c r="R6" i="1"/>
  <c r="S6" i="1"/>
  <c r="R7" i="1"/>
  <c r="S7" i="1" s="1"/>
  <c r="R8" i="1"/>
  <c r="S8" i="1"/>
  <c r="R9" i="1"/>
  <c r="S9" i="1" s="1"/>
  <c r="R10" i="1"/>
  <c r="S10" i="1"/>
  <c r="R11" i="1"/>
  <c r="S11" i="1" s="1"/>
  <c r="R12" i="1"/>
  <c r="S12" i="1"/>
  <c r="R13" i="1"/>
  <c r="S13" i="1" s="1"/>
  <c r="R14" i="1"/>
  <c r="S14" i="1"/>
  <c r="R15" i="1"/>
  <c r="S15" i="1" s="1"/>
  <c r="R16" i="1"/>
  <c r="S16" i="1"/>
  <c r="R17" i="1"/>
  <c r="S17" i="1" s="1"/>
  <c r="R18" i="1"/>
  <c r="S18" i="1"/>
  <c r="R19" i="1"/>
  <c r="S19" i="1" s="1"/>
  <c r="R20" i="1"/>
  <c r="S20" i="1"/>
  <c r="R21" i="1"/>
  <c r="S21" i="1" s="1"/>
  <c r="R22" i="1"/>
  <c r="S22" i="1"/>
  <c r="R23" i="1"/>
  <c r="S23" i="1" s="1"/>
  <c r="R24" i="1"/>
  <c r="S24" i="1"/>
  <c r="R25" i="1"/>
  <c r="S25" i="1" s="1"/>
  <c r="R26" i="1"/>
  <c r="S26" i="1"/>
  <c r="R27" i="1"/>
  <c r="S27" i="1" s="1"/>
  <c r="R28" i="1"/>
  <c r="S28" i="1"/>
  <c r="R29" i="1"/>
  <c r="S29" i="1" s="1"/>
  <c r="R30" i="1"/>
  <c r="S30" i="1"/>
  <c r="R31" i="1"/>
  <c r="S31" i="1" s="1"/>
  <c r="R32" i="1"/>
  <c r="S32" i="1"/>
  <c r="R33" i="1"/>
  <c r="S33" i="1" s="1"/>
  <c r="R34" i="1"/>
  <c r="S34" i="1"/>
  <c r="R35" i="1"/>
  <c r="S35" i="1" s="1"/>
  <c r="R36" i="1"/>
  <c r="S36" i="1"/>
  <c r="R37" i="1"/>
  <c r="S37" i="1" s="1"/>
  <c r="R38" i="1"/>
  <c r="S38" i="1"/>
  <c r="R39" i="1"/>
  <c r="S39" i="1" s="1"/>
  <c r="R40" i="1"/>
  <c r="S40" i="1"/>
  <c r="R41" i="1"/>
  <c r="S41" i="1" s="1"/>
  <c r="R42" i="1"/>
  <c r="S42" i="1"/>
  <c r="R43" i="1"/>
  <c r="S43" i="1" s="1"/>
  <c r="R44" i="1"/>
  <c r="S44" i="1"/>
  <c r="R45" i="1"/>
  <c r="S45" i="1" s="1"/>
  <c r="R46" i="1"/>
  <c r="S46" i="1"/>
  <c r="R47" i="1"/>
  <c r="S47" i="1" s="1"/>
  <c r="R48" i="1"/>
  <c r="S48" i="1"/>
  <c r="R49" i="1"/>
  <c r="S49" i="1" s="1"/>
  <c r="R50" i="1"/>
  <c r="S50" i="1"/>
  <c r="R51" i="1"/>
  <c r="S51" i="1" s="1"/>
  <c r="R52" i="1"/>
  <c r="S52" i="1"/>
  <c r="R53" i="1"/>
  <c r="S53" i="1" s="1"/>
  <c r="R54" i="1"/>
  <c r="S54" i="1"/>
  <c r="R55" i="1"/>
  <c r="S55" i="1" s="1"/>
  <c r="R56" i="1"/>
  <c r="S56" i="1"/>
  <c r="R57" i="1"/>
  <c r="S57" i="1" s="1"/>
  <c r="R58" i="1"/>
  <c r="S58" i="1"/>
  <c r="R59" i="1"/>
  <c r="S59" i="1" s="1"/>
  <c r="R60" i="1"/>
  <c r="S60" i="1"/>
  <c r="R61" i="1"/>
  <c r="S61" i="1" s="1"/>
  <c r="R62" i="1"/>
  <c r="S62" i="1"/>
  <c r="R63" i="1"/>
  <c r="S63" i="1" s="1"/>
  <c r="R64" i="1"/>
  <c r="S64" i="1"/>
  <c r="R65" i="1"/>
  <c r="S65" i="1" s="1"/>
  <c r="R66" i="1"/>
  <c r="S66" i="1"/>
  <c r="R67" i="1"/>
  <c r="S67" i="1" s="1"/>
  <c r="R68" i="1"/>
  <c r="S68" i="1"/>
  <c r="R69" i="1"/>
  <c r="S69" i="1" s="1"/>
  <c r="R70" i="1"/>
  <c r="S70" i="1"/>
  <c r="R71" i="1"/>
  <c r="S71" i="1" s="1"/>
  <c r="R72" i="1"/>
  <c r="S72" i="1"/>
  <c r="R73" i="1"/>
  <c r="S73" i="1" s="1"/>
  <c r="R74" i="1"/>
  <c r="S74" i="1"/>
  <c r="R75" i="1"/>
  <c r="S75" i="1" s="1"/>
  <c r="R76" i="1"/>
  <c r="S76" i="1"/>
  <c r="R77" i="1"/>
  <c r="S77" i="1" s="1"/>
  <c r="R78" i="1"/>
  <c r="S78" i="1"/>
  <c r="R79" i="1"/>
  <c r="S79" i="1" s="1"/>
  <c r="R80" i="1"/>
  <c r="S80" i="1"/>
  <c r="R81" i="1"/>
  <c r="S81" i="1" s="1"/>
  <c r="R82" i="1"/>
  <c r="S82" i="1"/>
  <c r="R83" i="1"/>
  <c r="S83" i="1" s="1"/>
  <c r="R84" i="1"/>
  <c r="S84" i="1"/>
  <c r="R2" i="1"/>
  <c r="S2" i="1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</calcChain>
</file>

<file path=xl/sharedStrings.xml><?xml version="1.0" encoding="utf-8"?>
<sst xmlns="http://schemas.openxmlformats.org/spreadsheetml/2006/main" count="272" uniqueCount="190">
  <si>
    <t>N°</t>
  </si>
  <si>
    <t>CLIENTE Rut</t>
  </si>
  <si>
    <t>CLIENTE Razon Social</t>
  </si>
  <si>
    <t>CLIENTE Tipo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</si>
  <si>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</si>
  <si>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</si>
  <si>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</si>
  <si>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</si>
  <si>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</si>
  <si>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</si>
  <si>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</si>
  <si>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</si>
  <si>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</si>
  <si>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</si>
  <si>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</si>
  <si>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</si>
  <si>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</si>
  <si>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% de la venta</t>
  </si>
  <si>
    <t>77.795.275-7</t>
  </si>
  <si>
    <t>Casa De La Motosierra Valdivia Spa</t>
  </si>
  <si>
    <t>Distribuidor</t>
  </si>
  <si>
    <t>96.500.090-9</t>
  </si>
  <si>
    <t>PROSUR SPA</t>
  </si>
  <si>
    <t>15.576.318-3</t>
  </si>
  <si>
    <t>Fabiola Andrea Martinez Calisto</t>
  </si>
  <si>
    <t>79.701.020-0</t>
  </si>
  <si>
    <t>Motor Service Ltda</t>
  </si>
  <si>
    <t>77.888.417-8</t>
  </si>
  <si>
    <t>Sociedad Comercial Moto-Moto Spa</t>
  </si>
  <si>
    <t>76.905.828-1</t>
  </si>
  <si>
    <t>Comercial Y Servicio Tecnico Motor K Limitada</t>
  </si>
  <si>
    <t>9.135.261-3</t>
  </si>
  <si>
    <t>Gonzalo Patricio oyarzo Mella</t>
  </si>
  <si>
    <t>7.136.299-K</t>
  </si>
  <si>
    <t>Roberto Ricardo Giubergia Munoz</t>
  </si>
  <si>
    <t>76.195.808-9</t>
  </si>
  <si>
    <t>Nautiparts e Industrial Ltda</t>
  </si>
  <si>
    <t>76.054.392-6</t>
  </si>
  <si>
    <t>Comercial Carlos Riquelme Valenzuela E.I.R.L</t>
  </si>
  <si>
    <t>77.457.722-K</t>
  </si>
  <si>
    <t>Comercial Chiloe Nautica Spa</t>
  </si>
  <si>
    <t>77.496.810-5</t>
  </si>
  <si>
    <t>Equipos Industriales Puerto Montt Limitada</t>
  </si>
  <si>
    <t>76.466.710-7</t>
  </si>
  <si>
    <t>Ferreteria Javier Hernandez Zuniga E.I.R.L.</t>
  </si>
  <si>
    <t>12.999.805-9</t>
  </si>
  <si>
    <t>Jorge orlando Soto Uribe</t>
  </si>
  <si>
    <t>77.835.007-6</t>
  </si>
  <si>
    <t>A Y P Spa</t>
  </si>
  <si>
    <t>9.324.004-9</t>
  </si>
  <si>
    <t>Pedro Segundo Maldonado Cayun</t>
  </si>
  <si>
    <t>5.812.193-2</t>
  </si>
  <si>
    <t>Juan Domingo oyanader Palma</t>
  </si>
  <si>
    <t>14.088.107-4</t>
  </si>
  <si>
    <t>Viviana Pillampel Guala</t>
  </si>
  <si>
    <t>18.517.851-K</t>
  </si>
  <si>
    <t>Ignacio Antonio Millanguir Hueitra</t>
  </si>
  <si>
    <t>76.269.986-9</t>
  </si>
  <si>
    <t>Comercial Alejandro Giacomozzi E.I.R.L</t>
  </si>
  <si>
    <t>76.095.154-4</t>
  </si>
  <si>
    <t>PANGUIMAQ LTDA</t>
  </si>
  <si>
    <t>77.718.606-K</t>
  </si>
  <si>
    <t>RJN Services Spa</t>
  </si>
  <si>
    <t>76.325.051-2</t>
  </si>
  <si>
    <t>Lara Huenulef Limitada</t>
  </si>
  <si>
    <t>76.355.826-6</t>
  </si>
  <si>
    <t>Comercial Distribuidora Brasil Spa</t>
  </si>
  <si>
    <t>11.411.068-K</t>
  </si>
  <si>
    <t>Jaime Roberto Pardo Rubilar</t>
  </si>
  <si>
    <t>13.119.521-4</t>
  </si>
  <si>
    <t>Carlos Alejandro Hinostroza Schwager</t>
  </si>
  <si>
    <t>77.110.648-K</t>
  </si>
  <si>
    <t>Control Maquinarias Spa</t>
  </si>
  <si>
    <t>77.766.793-9</t>
  </si>
  <si>
    <t>DVeliz Servicio TEcnico E.I.R.L</t>
  </si>
  <si>
    <t>76.531.654-5</t>
  </si>
  <si>
    <t>Ferrosur Chile Spa</t>
  </si>
  <si>
    <t>13.399.894-2</t>
  </si>
  <si>
    <t>Claudia Alejandra Alvarez Barril</t>
  </si>
  <si>
    <t>21.470.209-6</t>
  </si>
  <si>
    <t>JOSELYN SOLANGE GARCES ARCOS</t>
  </si>
  <si>
    <t>77.424.011-K</t>
  </si>
  <si>
    <t>A Y P SPA</t>
  </si>
  <si>
    <t>10.047.852-8</t>
  </si>
  <si>
    <t>Haroldo Negron ortiz</t>
  </si>
  <si>
    <t>11.542.709-1</t>
  </si>
  <si>
    <t>OSCAR HERNAN RODRIGUEZ HERNANDEZ</t>
  </si>
  <si>
    <t>76.737.188-8</t>
  </si>
  <si>
    <t>Servicios Ecollifen Limitada</t>
  </si>
  <si>
    <t>10.743.386-4</t>
  </si>
  <si>
    <t>ADAN RUBEN MUNOZ CARRASCO</t>
  </si>
  <si>
    <t>77.418.661-1</t>
  </si>
  <si>
    <t>SERVICIO TECNICO CYP SPA</t>
  </si>
  <si>
    <t>15.634.626-8</t>
  </si>
  <si>
    <t>Gerardo Villarroel</t>
  </si>
  <si>
    <t>76.966.806-3</t>
  </si>
  <si>
    <t>M y C Construcciones Servicios Spa</t>
  </si>
  <si>
    <t>77.658.476-2</t>
  </si>
  <si>
    <t>Multiservicios Rancomaq Spa</t>
  </si>
  <si>
    <t>76.330.692-5</t>
  </si>
  <si>
    <t>Sociedad Comercial e Inversiones R y M Spa</t>
  </si>
  <si>
    <t>76.600.204-8</t>
  </si>
  <si>
    <t>Bobinados Industriales Loncomilla Spa</t>
  </si>
  <si>
    <t>76.442.513-8</t>
  </si>
  <si>
    <t>Maria de Lourdes Undurraga Diez Spa</t>
  </si>
  <si>
    <t>16.685.824-0</t>
  </si>
  <si>
    <t>Raul Neumann Cortes</t>
  </si>
  <si>
    <t>76.325.629-4</t>
  </si>
  <si>
    <t>Mario Alejandro Blanco Saldivia Servicio Tecnico E.I.R.L.</t>
  </si>
  <si>
    <t>77.767.582-6</t>
  </si>
  <si>
    <t>COMERCIAL MAVICK SPA</t>
  </si>
  <si>
    <t>77.926.965-5</t>
  </si>
  <si>
    <t>Repuestos Sandoval Spa</t>
  </si>
  <si>
    <t>78.179.445-7</t>
  </si>
  <si>
    <t>FCS MANTENCION Y REPARACION SPA</t>
  </si>
  <si>
    <t>77.672.577-3</t>
  </si>
  <si>
    <t>INDUMAQ SPA</t>
  </si>
  <si>
    <t>76.966.608-7</t>
  </si>
  <si>
    <t>Rental Valdivia Inversiones Ltda</t>
  </si>
  <si>
    <t>78.286.156-5</t>
  </si>
  <si>
    <t>REPUESTOS A&amp;P ERWIN ESTEBAN ARIAS VALDIVIA E.I.R.L.</t>
  </si>
  <si>
    <t>77.079.504-4</t>
  </si>
  <si>
    <t>INGENIERIA Y SERVICIOS SOLUCIONES DEL SUR SPA</t>
  </si>
  <si>
    <t>76.321.760-4</t>
  </si>
  <si>
    <t>Sociedad Comercial Hernandez y Jara Limitada</t>
  </si>
  <si>
    <t>77.261.083-1</t>
  </si>
  <si>
    <t>KEVMAQ SPA</t>
  </si>
  <si>
    <t>76.145.894-9</t>
  </si>
  <si>
    <t>Jose Juan Alvarado Alvarez, Ferreteria y Motosierras E.I.R.L.</t>
  </si>
  <si>
    <t>76.617.086-2</t>
  </si>
  <si>
    <t>Servicios integrales el Castor E.I.R.L</t>
  </si>
  <si>
    <t>77.770.412-5</t>
  </si>
  <si>
    <t>Aserradero y Ferreteria oyarzo C Spa</t>
  </si>
  <si>
    <t>16.461.315-1</t>
  </si>
  <si>
    <t>Juan Danilo ojeda Gallardo</t>
  </si>
  <si>
    <t>76.668.153-0</t>
  </si>
  <si>
    <t>Bergmann Soluciones Spa</t>
  </si>
  <si>
    <t>77.974.325-K</t>
  </si>
  <si>
    <t>Comercial Moto Moto Rudy Gonzalez Munoz E.i.r.l</t>
  </si>
  <si>
    <t>76.543.625-7</t>
  </si>
  <si>
    <t>SERVICIOS MECANICOS Y ELECTRONICOS MECATRONIK SUR LIMITADA</t>
  </si>
  <si>
    <t>76.633.198-K</t>
  </si>
  <si>
    <t>Distribuidora y Comercializadora Francia A.F.Benavides Moya E.I.R.L</t>
  </si>
  <si>
    <t>76.843.469-7</t>
  </si>
  <si>
    <t>COMERCIAL SOTAVENTO LIMITADA</t>
  </si>
  <si>
    <t>11.916.198-3</t>
  </si>
  <si>
    <t>ELIAS EDGARDO HERNANDEZ ZUNIGA</t>
  </si>
  <si>
    <t>77.709.006-2</t>
  </si>
  <si>
    <t>SOCIEDAD COMERCIAL RUIZ E HIJOS LIMITADA</t>
  </si>
  <si>
    <t>15.688.587-8</t>
  </si>
  <si>
    <t>VICTOR OMAR GUALA MILLALLANCA</t>
  </si>
  <si>
    <t>6.622.552-6</t>
  </si>
  <si>
    <t>MANUEL RAMIREZ</t>
  </si>
  <si>
    <t>78.127.992-7</t>
  </si>
  <si>
    <t>SOCIEDAD COMERCIAL TYP SPA</t>
  </si>
  <si>
    <t>10.103.353-8</t>
  </si>
  <si>
    <t>MIGUEL JORGE GABRIEL CANTO MANSILLA</t>
  </si>
  <si>
    <t>7.592.981-1</t>
  </si>
  <si>
    <t>Richard Alex Federic Petersen Goldberg</t>
  </si>
  <si>
    <t>76.494.302-3</t>
  </si>
  <si>
    <t>Mgi Comercializadora y Contabilidad Limitada</t>
  </si>
  <si>
    <t>11.100.335-1</t>
  </si>
  <si>
    <t>LIDIA ANGELICA SANHUEZA FUENTES</t>
  </si>
  <si>
    <t>17.962.998-4</t>
  </si>
  <si>
    <t>DIEGO STEFAN MAECHEL MORALES</t>
  </si>
  <si>
    <t>77.789.692-K</t>
  </si>
  <si>
    <t>PATAGONIA PIPING LIMITADA</t>
  </si>
  <si>
    <t>7.529.799-8</t>
  </si>
  <si>
    <t>BERNARDO ALEXI MONTOLLA VILLABLANCA</t>
  </si>
  <si>
    <t>76.889.622-4</t>
  </si>
  <si>
    <t>Comercial Sanhueza y Bocaz Limitada</t>
  </si>
  <si>
    <t>77.140.443-K</t>
  </si>
  <si>
    <t>Eneser Limitada</t>
  </si>
  <si>
    <t>79.723.790-6</t>
  </si>
  <si>
    <t>Equipos y Maquinarias Sociedad Ltda</t>
  </si>
  <si>
    <t>76.726.061-K</t>
  </si>
  <si>
    <t>FERRETERIA PALENA SPA</t>
  </si>
  <si>
    <t>76.162.856-9</t>
  </si>
  <si>
    <t>Importadora Comercial Poseidon Limitada</t>
  </si>
  <si>
    <t>76.678.888-2</t>
  </si>
  <si>
    <t>Insumaq Rental LIimitada</t>
  </si>
  <si>
    <t>76.493.875-5</t>
  </si>
  <si>
    <t>Reparacion y mantencion Ruben Antonio Amor Soto E.I.R.L</t>
  </si>
  <si>
    <t>76.916.002-7</t>
  </si>
  <si>
    <t>Servicio Tecnico y Reparaciones Segundo Alvarez E.I.R.L</t>
  </si>
  <si>
    <t>% Acumulado</t>
  </si>
  <si>
    <t>Segmento</t>
  </si>
  <si>
    <t>Meses con venta</t>
  </si>
  <si>
    <t>Ventas últimos 3 meses</t>
  </si>
  <si>
    <t>Nivel de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</si>
</sst>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4" borderId="0" xfId="0" applyFill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34" borderId="10" xfId="0" applyFill="1" applyBorder="1" applyAlignment="1">
      <alignment wrapText="1"/>
    </xf>
    <xf numFmtId="3" fontId="0" fillId="0" borderId="10" xfId="0" applyNumberFormat="1" applyBorder="1" applyAlignment="1">
      <alignment wrapText="1"/>
    </xf>
    <xf numFmtId="10" fontId="0" fillId="0" borderId="10" xfId="0" applyNumberFormat="1" applyBorder="1" applyAlignment="1">
      <alignment wrapText="1"/>
    </xf>
    <xf numFmtId="3" fontId="0" fillId="34" borderId="10" xfId="0" applyNumberFormat="1" applyFill="1" applyBorder="1" applyAlignment="1">
      <alignment wrapText="1"/>
    </xf>
    <xf numFmtId="3" fontId="0" fillId="33" borderId="10" xfId="0" applyNumberFormat="1" applyFill="1" applyBorder="1" applyAlignment="1">
      <alignment wrapText="1"/>
    </xf>
    <xf numFmtId="9" fontId="18" fillId="35" borderId="10" xfId="0" applyNumberFormat="1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9" fontId="0" fillId="36" borderId="10" xfId="0" applyNumberFormat="1" applyFont="1" applyFill="1" applyBorder="1"/>
    <xf numFmtId="0" fontId="19" fillId="37" borderId="10" xfId="0" applyFont="1" applyFill="1" applyBorder="1" applyAlignment="1">
      <alignment wrapText="1"/>
    </xf>
    <xf numFmtId="0" fontId="16" fillId="0" borderId="10" xfId="0" applyFont="1" applyFill="1" applyBorder="1" applyAlignment="1">
      <alignment horizontal="center" vertical="center" wrapText="1"/>
    </xf>
    <xf numFmtId="0" fontId="0" fillId="0" borderId="10" xfId="0" applyBorder="1"/>
    <xf numFmtId="3" fontId="0" fillId="0" borderId="10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6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84"/>
  <sheetViews>
    <sheetView showGridLines="0" tabSelected="1" topLeftCell="A10" workbookViewId="0">
      <selection activeCell="W56" sqref="W56:W84"/>
    </sheetView>
  </sheetViews>
  <sheetFormatPr baseColWidth="10" defaultRowHeight="15" x14ac:dyDescent="0.25"/>
  <cols>
    <col min="1" max="1" width="7.140625" customWidth="1"/>
    <col min="2" max="2" width="12" bestFit="1" customWidth="1"/>
    <col min="3" max="3" width="45.7109375" bestFit="1" customWidth="1"/>
    <col min="4" max="4" width="12.28515625" bestFit="1" customWidth="1"/>
    <col min="5" max="6" width="4.28515625" customWidth="1"/>
    <col min="7" max="10" width="9.140625" customWidth="1"/>
    <col min="11" max="11" width="10.140625" customWidth="1"/>
    <col min="12" max="16" width="9.140625" customWidth="1"/>
    <col min="17" max="19" width="10.140625" customWidth="1"/>
    <col min="20" max="20" width="12.7109375" bestFit="1" customWidth="1"/>
  </cols>
  <sheetData>
    <row r="1" spans="1:23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9" t="s">
        <v>185</v>
      </c>
      <c r="S1" s="10" t="s">
        <v>186</v>
      </c>
      <c r="T1" s="2" t="s">
        <v>17</v>
      </c>
      <c r="U1" s="13" t="s">
        <v>187</v>
      </c>
      <c r="V1" s="13" t="s">
        <v>188</v>
      </c>
      <c r="W1" s="13" t="s">
        <v>189</v>
      </c>
    </row>
    <row r="2" spans="1:23" x14ac:dyDescent="0.25">
      <c r="A2" s="3">
        <v>1</v>
      </c>
      <c r="B2" s="3" t="s">
        <v>18</v>
      </c>
      <c r="C2" s="3" t="s">
        <v>19</v>
      </c>
      <c r="D2" s="3" t="s">
        <v>20</v>
      </c>
      <c r="E2" s="3">
        <v>0</v>
      </c>
      <c r="F2" s="3">
        <v>0</v>
      </c>
      <c r="G2" s="4">
        <v>0</v>
      </c>
      <c r="H2" s="4">
        <v>0</v>
      </c>
      <c r="I2" s="5">
        <v>794055</v>
      </c>
      <c r="J2" s="5">
        <v>650716</v>
      </c>
      <c r="K2" s="5">
        <v>11746431</v>
      </c>
      <c r="L2" s="5">
        <v>2419728</v>
      </c>
      <c r="M2" s="5">
        <v>4624445</v>
      </c>
      <c r="N2" s="5">
        <v>2412826</v>
      </c>
      <c r="O2" s="5">
        <v>9532937</v>
      </c>
      <c r="P2" s="5">
        <v>3235833</v>
      </c>
      <c r="Q2" s="5">
        <v>35416971</v>
      </c>
      <c r="R2" s="11">
        <f>SUM($Q$2:Q2)/SUM($Q:$Q)</f>
        <v>0.1347830642598736</v>
      </c>
      <c r="S2" s="12" t="str">
        <f t="shared" ref="S2:S65" si="0">IF(R2&lt;=0.8,"A",IF(R2&lt;=0.95,"B",IF(R2&lt;=0.99,"C","D")))</f>
        <v>A</v>
      </c>
      <c r="T2" s="6">
        <v>0.1348</v>
      </c>
      <c r="U2" s="14">
        <f>COUNTIF(E2:P2,"&gt;0")</f>
        <v>8</v>
      </c>
      <c r="V2" s="15">
        <f>SUM(N2:P2)</f>
        <v>15181596</v>
      </c>
      <c r="W2" s="14" t="str">
        <f>IF(AND(U2&lt;=3,V2=0),"ALTO",
 IF(AND(U2&lt;=7,V2&gt;0),"MEDIO",
 "BAJO"))</f>
        <v>BAJO</v>
      </c>
    </row>
    <row r="3" spans="1:23" x14ac:dyDescent="0.25">
      <c r="A3" s="3">
        <f>A2+1</f>
        <v>2</v>
      </c>
      <c r="B3" s="3" t="s">
        <v>21</v>
      </c>
      <c r="C3" s="3" t="s">
        <v>22</v>
      </c>
      <c r="D3" s="3" t="s">
        <v>20</v>
      </c>
      <c r="E3" s="3">
        <v>0</v>
      </c>
      <c r="F3" s="3">
        <v>0</v>
      </c>
      <c r="G3" s="5">
        <v>1805360</v>
      </c>
      <c r="H3" s="5">
        <v>2854852</v>
      </c>
      <c r="I3" s="5">
        <v>2026735</v>
      </c>
      <c r="J3" s="5">
        <v>888033</v>
      </c>
      <c r="K3" s="5">
        <v>3163843</v>
      </c>
      <c r="L3" s="5">
        <v>3601097</v>
      </c>
      <c r="M3" s="5">
        <v>1459371</v>
      </c>
      <c r="N3" s="5">
        <v>4659609</v>
      </c>
      <c r="O3" s="5">
        <v>6725167</v>
      </c>
      <c r="P3" s="5">
        <v>7269695</v>
      </c>
      <c r="Q3" s="5">
        <v>34453762</v>
      </c>
      <c r="R3" s="11">
        <f>SUM($Q$2:Q3)/SUM($Q:$Q)</f>
        <v>0.26590053383795781</v>
      </c>
      <c r="S3" s="12" t="str">
        <f t="shared" si="0"/>
        <v>A</v>
      </c>
      <c r="T3" s="6">
        <v>0.13109999999999999</v>
      </c>
      <c r="U3" s="14">
        <f t="shared" ref="U3:U66" si="1">COUNTIF(E3:P3,"&gt;0")</f>
        <v>10</v>
      </c>
      <c r="V3" s="15">
        <f t="shared" ref="V3:V66" si="2">SUM(N3:P3)</f>
        <v>18654471</v>
      </c>
      <c r="W3" s="14" t="str">
        <f t="shared" ref="W3:W66" si="3">IF(AND(U3&lt;=3,V3=0),"ALTO",
 IF(AND(U3&lt;=7,V3&gt;0),"MEDIO",
 "BAJO"))</f>
        <v>BAJO</v>
      </c>
    </row>
    <row r="4" spans="1:23" x14ac:dyDescent="0.25">
      <c r="A4" s="3">
        <f t="shared" ref="A4:A67" si="4">A3+1</f>
        <v>3</v>
      </c>
      <c r="B4" s="3" t="s">
        <v>23</v>
      </c>
      <c r="C4" s="3" t="s">
        <v>24</v>
      </c>
      <c r="D4" s="3" t="s">
        <v>20</v>
      </c>
      <c r="E4" s="3">
        <v>0</v>
      </c>
      <c r="F4" s="3">
        <v>0</v>
      </c>
      <c r="G4" s="5">
        <v>1592337</v>
      </c>
      <c r="H4" s="5">
        <v>1438781</v>
      </c>
      <c r="I4" s="5">
        <v>725521</v>
      </c>
      <c r="J4" s="5">
        <v>2297328</v>
      </c>
      <c r="K4" s="5">
        <v>577468</v>
      </c>
      <c r="L4" s="5">
        <v>1032133</v>
      </c>
      <c r="M4" s="5">
        <v>1188778</v>
      </c>
      <c r="N4" s="5">
        <v>1557437</v>
      </c>
      <c r="O4" s="5">
        <v>1662732</v>
      </c>
      <c r="P4" s="5">
        <v>754615</v>
      </c>
      <c r="Q4" s="5">
        <v>12827130</v>
      </c>
      <c r="R4" s="11">
        <f>SUM($Q$2:Q4)/SUM($Q:$Q)</f>
        <v>0.31471554647864219</v>
      </c>
      <c r="S4" s="12" t="str">
        <f t="shared" si="0"/>
        <v>A</v>
      </c>
      <c r="T4" s="6">
        <v>4.8800000000000003E-2</v>
      </c>
      <c r="U4" s="14">
        <f t="shared" si="1"/>
        <v>10</v>
      </c>
      <c r="V4" s="15">
        <f t="shared" si="2"/>
        <v>3974784</v>
      </c>
      <c r="W4" s="14" t="str">
        <f t="shared" si="3"/>
        <v>BAJO</v>
      </c>
    </row>
    <row r="5" spans="1:23" x14ac:dyDescent="0.25">
      <c r="A5" s="3">
        <f t="shared" si="4"/>
        <v>4</v>
      </c>
      <c r="B5" s="3" t="s">
        <v>25</v>
      </c>
      <c r="C5" s="3" t="s">
        <v>26</v>
      </c>
      <c r="D5" s="3" t="s">
        <v>20</v>
      </c>
      <c r="E5" s="3">
        <v>0</v>
      </c>
      <c r="F5" s="3">
        <v>0</v>
      </c>
      <c r="G5" s="5">
        <v>1152162</v>
      </c>
      <c r="H5" s="5">
        <v>1470469</v>
      </c>
      <c r="I5" s="5">
        <v>489018</v>
      </c>
      <c r="J5" s="5">
        <v>1096330</v>
      </c>
      <c r="K5" s="5">
        <v>1203535</v>
      </c>
      <c r="L5" s="5">
        <v>776690</v>
      </c>
      <c r="M5" s="5">
        <v>497928</v>
      </c>
      <c r="N5" s="5">
        <v>1345822</v>
      </c>
      <c r="O5" s="5">
        <v>2563781</v>
      </c>
      <c r="P5" s="5">
        <v>1287610</v>
      </c>
      <c r="Q5" s="5">
        <v>11883345</v>
      </c>
      <c r="R5" s="11">
        <f>SUM($Q$2:Q5)/SUM($Q:$Q)</f>
        <v>0.35993888454324541</v>
      </c>
      <c r="S5" s="12" t="str">
        <f t="shared" si="0"/>
        <v>A</v>
      </c>
      <c r="T5" s="6">
        <v>4.5199999999999997E-2</v>
      </c>
      <c r="U5" s="14">
        <f t="shared" si="1"/>
        <v>10</v>
      </c>
      <c r="V5" s="15">
        <f t="shared" si="2"/>
        <v>5197213</v>
      </c>
      <c r="W5" s="14" t="str">
        <f t="shared" si="3"/>
        <v>BAJO</v>
      </c>
    </row>
    <row r="6" spans="1:23" x14ac:dyDescent="0.25">
      <c r="A6" s="3">
        <f t="shared" si="4"/>
        <v>5</v>
      </c>
      <c r="B6" s="3" t="s">
        <v>27</v>
      </c>
      <c r="C6" s="3" t="s">
        <v>28</v>
      </c>
      <c r="D6" s="3" t="s">
        <v>20</v>
      </c>
      <c r="E6" s="3">
        <v>0</v>
      </c>
      <c r="F6" s="3">
        <v>0</v>
      </c>
      <c r="G6" s="5">
        <v>133683</v>
      </c>
      <c r="H6" s="5">
        <v>353316</v>
      </c>
      <c r="I6" s="4">
        <v>0</v>
      </c>
      <c r="J6" s="5">
        <v>4208575</v>
      </c>
      <c r="K6" s="5">
        <v>411890</v>
      </c>
      <c r="L6" s="5">
        <v>103788</v>
      </c>
      <c r="M6" s="4">
        <v>0</v>
      </c>
      <c r="N6" s="5">
        <v>380736</v>
      </c>
      <c r="O6" s="5">
        <v>838976</v>
      </c>
      <c r="P6" s="5">
        <v>1027187</v>
      </c>
      <c r="Q6" s="5">
        <v>7458151</v>
      </c>
      <c r="R6" s="11">
        <f>SUM($Q$2:Q6)/SUM($Q:$Q)</f>
        <v>0.38832167440669363</v>
      </c>
      <c r="S6" s="12" t="str">
        <f t="shared" si="0"/>
        <v>A</v>
      </c>
      <c r="T6" s="6">
        <v>2.8400000000000002E-2</v>
      </c>
      <c r="U6" s="14">
        <f t="shared" si="1"/>
        <v>8</v>
      </c>
      <c r="V6" s="15">
        <f t="shared" si="2"/>
        <v>2246899</v>
      </c>
      <c r="W6" s="14" t="str">
        <f t="shared" si="3"/>
        <v>BAJO</v>
      </c>
    </row>
    <row r="7" spans="1:23" x14ac:dyDescent="0.25">
      <c r="A7" s="3">
        <f t="shared" si="4"/>
        <v>6</v>
      </c>
      <c r="B7" s="3" t="s">
        <v>29</v>
      </c>
      <c r="C7" s="3" t="s">
        <v>30</v>
      </c>
      <c r="D7" s="3" t="s">
        <v>20</v>
      </c>
      <c r="E7" s="3">
        <v>0</v>
      </c>
      <c r="F7" s="3">
        <v>0</v>
      </c>
      <c r="G7" s="5">
        <v>910622</v>
      </c>
      <c r="H7" s="5">
        <v>455031</v>
      </c>
      <c r="I7" s="5">
        <v>385155</v>
      </c>
      <c r="J7" s="5">
        <v>519174</v>
      </c>
      <c r="K7" s="5">
        <v>415753</v>
      </c>
      <c r="L7" s="5">
        <v>1306472</v>
      </c>
      <c r="M7" s="5">
        <v>556982</v>
      </c>
      <c r="N7" s="5">
        <v>1116009</v>
      </c>
      <c r="O7" s="5">
        <v>680670</v>
      </c>
      <c r="P7" s="5">
        <v>1081287</v>
      </c>
      <c r="Q7" s="5">
        <v>7427155</v>
      </c>
      <c r="R7" s="11">
        <f>SUM($Q$2:Q7)/SUM($Q:$Q)</f>
        <v>0.41658650568300581</v>
      </c>
      <c r="S7" s="12" t="str">
        <f t="shared" si="0"/>
        <v>A</v>
      </c>
      <c r="T7" s="6">
        <v>2.8299999999999999E-2</v>
      </c>
      <c r="U7" s="14">
        <f t="shared" si="1"/>
        <v>10</v>
      </c>
      <c r="V7" s="15">
        <f t="shared" si="2"/>
        <v>2877966</v>
      </c>
      <c r="W7" s="14" t="str">
        <f t="shared" si="3"/>
        <v>BAJO</v>
      </c>
    </row>
    <row r="8" spans="1:23" x14ac:dyDescent="0.25">
      <c r="A8" s="3">
        <f t="shared" si="4"/>
        <v>7</v>
      </c>
      <c r="B8" s="3" t="s">
        <v>31</v>
      </c>
      <c r="C8" s="3" t="s">
        <v>32</v>
      </c>
      <c r="D8" s="3" t="s">
        <v>20</v>
      </c>
      <c r="E8" s="3">
        <v>0</v>
      </c>
      <c r="F8" s="3">
        <v>0</v>
      </c>
      <c r="G8" s="5">
        <v>781569</v>
      </c>
      <c r="H8" s="5">
        <v>724332</v>
      </c>
      <c r="I8" s="5">
        <v>511938</v>
      </c>
      <c r="J8" s="5">
        <v>352944</v>
      </c>
      <c r="K8" s="5">
        <v>282951</v>
      </c>
      <c r="L8" s="5">
        <v>410435</v>
      </c>
      <c r="M8" s="5">
        <v>526138</v>
      </c>
      <c r="N8" s="5">
        <v>1754604</v>
      </c>
      <c r="O8" s="5">
        <v>832078</v>
      </c>
      <c r="P8" s="5">
        <v>1213680</v>
      </c>
      <c r="Q8" s="5">
        <v>7390669</v>
      </c>
      <c r="R8" s="11">
        <f>SUM($Q$2:Q8)/SUM($Q:$Q)</f>
        <v>0.44471248559106896</v>
      </c>
      <c r="S8" s="12" t="str">
        <f t="shared" si="0"/>
        <v>A</v>
      </c>
      <c r="T8" s="6">
        <v>2.81E-2</v>
      </c>
      <c r="U8" s="14">
        <f t="shared" si="1"/>
        <v>10</v>
      </c>
      <c r="V8" s="15">
        <f t="shared" si="2"/>
        <v>3800362</v>
      </c>
      <c r="W8" s="14" t="str">
        <f t="shared" si="3"/>
        <v>BAJO</v>
      </c>
    </row>
    <row r="9" spans="1:23" x14ac:dyDescent="0.25">
      <c r="A9" s="3">
        <f t="shared" si="4"/>
        <v>8</v>
      </c>
      <c r="B9" s="3" t="s">
        <v>33</v>
      </c>
      <c r="C9" s="3" t="s">
        <v>34</v>
      </c>
      <c r="D9" s="3" t="s">
        <v>20</v>
      </c>
      <c r="E9" s="3">
        <v>0</v>
      </c>
      <c r="F9" s="3">
        <v>0</v>
      </c>
      <c r="G9" s="5">
        <v>744047</v>
      </c>
      <c r="H9" s="5">
        <v>327186</v>
      </c>
      <c r="I9" s="5">
        <v>913773</v>
      </c>
      <c r="J9" s="5">
        <v>650340</v>
      </c>
      <c r="K9" s="5">
        <v>672227</v>
      </c>
      <c r="L9" s="5">
        <v>189795</v>
      </c>
      <c r="M9" s="5">
        <v>813135</v>
      </c>
      <c r="N9" s="5">
        <v>667761</v>
      </c>
      <c r="O9" s="5">
        <v>1189096</v>
      </c>
      <c r="P9" s="5">
        <v>916090</v>
      </c>
      <c r="Q9" s="5">
        <v>7083450</v>
      </c>
      <c r="R9" s="11">
        <f>SUM($Q$2:Q9)/SUM($Q:$Q)</f>
        <v>0.47166931079590091</v>
      </c>
      <c r="S9" s="12" t="str">
        <f t="shared" si="0"/>
        <v>A</v>
      </c>
      <c r="T9" s="6">
        <v>2.7E-2</v>
      </c>
      <c r="U9" s="14">
        <f t="shared" si="1"/>
        <v>10</v>
      </c>
      <c r="V9" s="15">
        <f t="shared" si="2"/>
        <v>2772947</v>
      </c>
      <c r="W9" s="14" t="str">
        <f t="shared" si="3"/>
        <v>BAJO</v>
      </c>
    </row>
    <row r="10" spans="1:23" x14ac:dyDescent="0.25">
      <c r="A10" s="3">
        <f t="shared" si="4"/>
        <v>9</v>
      </c>
      <c r="B10" s="3" t="s">
        <v>35</v>
      </c>
      <c r="C10" s="3" t="s">
        <v>36</v>
      </c>
      <c r="D10" s="3" t="s">
        <v>20</v>
      </c>
      <c r="E10" s="3">
        <v>0</v>
      </c>
      <c r="F10" s="3">
        <v>0</v>
      </c>
      <c r="G10" s="4">
        <v>0</v>
      </c>
      <c r="H10" s="5">
        <v>2032227</v>
      </c>
      <c r="I10" s="5">
        <v>887841</v>
      </c>
      <c r="J10" s="5">
        <v>226660</v>
      </c>
      <c r="K10" s="5">
        <v>760410</v>
      </c>
      <c r="L10" s="5">
        <v>1388187</v>
      </c>
      <c r="M10" s="5">
        <v>437331</v>
      </c>
      <c r="N10" s="5">
        <v>435330</v>
      </c>
      <c r="O10" s="5">
        <v>791100</v>
      </c>
      <c r="P10" s="4">
        <v>0</v>
      </c>
      <c r="Q10" s="5">
        <v>6959086</v>
      </c>
      <c r="R10" s="11">
        <f>SUM($Q$2:Q10)/SUM($Q:$Q)</f>
        <v>0.49815285552161975</v>
      </c>
      <c r="S10" s="12" t="str">
        <f t="shared" si="0"/>
        <v>A</v>
      </c>
      <c r="T10" s="6">
        <v>2.6499999999999999E-2</v>
      </c>
      <c r="U10" s="14">
        <f t="shared" si="1"/>
        <v>8</v>
      </c>
      <c r="V10" s="15">
        <f t="shared" si="2"/>
        <v>1226430</v>
      </c>
      <c r="W10" s="14" t="str">
        <f t="shared" si="3"/>
        <v>BAJO</v>
      </c>
    </row>
    <row r="11" spans="1:23" x14ac:dyDescent="0.25">
      <c r="A11" s="3">
        <f t="shared" si="4"/>
        <v>10</v>
      </c>
      <c r="B11" s="3" t="s">
        <v>37</v>
      </c>
      <c r="C11" s="3" t="s">
        <v>38</v>
      </c>
      <c r="D11" s="3" t="s">
        <v>20</v>
      </c>
      <c r="E11" s="3">
        <v>0</v>
      </c>
      <c r="F11" s="3">
        <v>0</v>
      </c>
      <c r="G11" s="5">
        <v>197316</v>
      </c>
      <c r="H11" s="4">
        <v>0</v>
      </c>
      <c r="I11" s="5">
        <v>725982</v>
      </c>
      <c r="J11" s="5">
        <v>646389</v>
      </c>
      <c r="K11" s="5">
        <v>403659</v>
      </c>
      <c r="L11" s="5">
        <v>1152891</v>
      </c>
      <c r="M11" s="5">
        <v>906585</v>
      </c>
      <c r="N11" s="5">
        <v>994101</v>
      </c>
      <c r="O11" s="5">
        <v>1329636</v>
      </c>
      <c r="P11" s="5">
        <v>573975</v>
      </c>
      <c r="Q11" s="5">
        <v>6930534</v>
      </c>
      <c r="R11" s="11">
        <f>SUM($Q$2:Q11)/SUM($Q:$Q)</f>
        <v>0.52452774256312418</v>
      </c>
      <c r="S11" s="12" t="str">
        <f t="shared" si="0"/>
        <v>A</v>
      </c>
      <c r="T11" s="6">
        <v>2.64E-2</v>
      </c>
      <c r="U11" s="14">
        <f t="shared" si="1"/>
        <v>9</v>
      </c>
      <c r="V11" s="15">
        <f t="shared" si="2"/>
        <v>2897712</v>
      </c>
      <c r="W11" s="14" t="str">
        <f t="shared" si="3"/>
        <v>BAJO</v>
      </c>
    </row>
    <row r="12" spans="1:23" x14ac:dyDescent="0.25">
      <c r="A12" s="3">
        <f t="shared" si="4"/>
        <v>11</v>
      </c>
      <c r="B12" s="3" t="s">
        <v>39</v>
      </c>
      <c r="C12" s="3" t="s">
        <v>40</v>
      </c>
      <c r="D12" s="3" t="s">
        <v>20</v>
      </c>
      <c r="E12" s="3">
        <v>0</v>
      </c>
      <c r="F12" s="3">
        <v>0</v>
      </c>
      <c r="G12" s="5">
        <v>697554</v>
      </c>
      <c r="H12" s="5">
        <v>585495</v>
      </c>
      <c r="I12" s="5">
        <v>382536</v>
      </c>
      <c r="J12" s="5">
        <v>436230</v>
      </c>
      <c r="K12" s="5">
        <v>854172</v>
      </c>
      <c r="L12" s="5">
        <v>438840</v>
      </c>
      <c r="M12" s="5">
        <v>189783</v>
      </c>
      <c r="N12" s="5">
        <v>1286613</v>
      </c>
      <c r="O12" s="5">
        <v>902187</v>
      </c>
      <c r="P12" s="5">
        <v>285201</v>
      </c>
      <c r="Q12" s="5">
        <v>6058611</v>
      </c>
      <c r="R12" s="11">
        <f>SUM($Q$2:Q12)/SUM($Q:$Q)</f>
        <v>0.54758443354154174</v>
      </c>
      <c r="S12" s="12" t="str">
        <f t="shared" si="0"/>
        <v>A</v>
      </c>
      <c r="T12" s="6">
        <v>2.3099999999999999E-2</v>
      </c>
      <c r="U12" s="14">
        <f t="shared" si="1"/>
        <v>10</v>
      </c>
      <c r="V12" s="15">
        <f t="shared" si="2"/>
        <v>2474001</v>
      </c>
      <c r="W12" s="14" t="str">
        <f t="shared" si="3"/>
        <v>BAJO</v>
      </c>
    </row>
    <row r="13" spans="1:23" x14ac:dyDescent="0.25">
      <c r="A13" s="3">
        <f t="shared" si="4"/>
        <v>12</v>
      </c>
      <c r="B13" s="3" t="s">
        <v>41</v>
      </c>
      <c r="C13" s="3" t="s">
        <v>42</v>
      </c>
      <c r="D13" s="3" t="s">
        <v>20</v>
      </c>
      <c r="E13" s="3">
        <v>0</v>
      </c>
      <c r="F13" s="3">
        <v>0</v>
      </c>
      <c r="G13" s="5">
        <v>219980</v>
      </c>
      <c r="H13" s="5">
        <v>773700</v>
      </c>
      <c r="I13" s="5">
        <v>1286290</v>
      </c>
      <c r="J13" s="5">
        <v>584980</v>
      </c>
      <c r="K13" s="5">
        <v>177730</v>
      </c>
      <c r="L13" s="5">
        <v>498030</v>
      </c>
      <c r="M13" s="5">
        <v>339110</v>
      </c>
      <c r="N13" s="5">
        <v>698820</v>
      </c>
      <c r="O13" s="5">
        <v>821100</v>
      </c>
      <c r="P13" s="5">
        <v>518450</v>
      </c>
      <c r="Q13" s="5">
        <v>5918190</v>
      </c>
      <c r="R13" s="11">
        <f>SUM($Q$2:Q13)/SUM($Q:$Q)</f>
        <v>0.57010673741309925</v>
      </c>
      <c r="S13" s="12" t="str">
        <f t="shared" si="0"/>
        <v>A</v>
      </c>
      <c r="T13" s="6">
        <v>2.2499999999999999E-2</v>
      </c>
      <c r="U13" s="14">
        <f t="shared" si="1"/>
        <v>10</v>
      </c>
      <c r="V13" s="15">
        <f t="shared" si="2"/>
        <v>2038370</v>
      </c>
      <c r="W13" s="14" t="str">
        <f t="shared" si="3"/>
        <v>BAJO</v>
      </c>
    </row>
    <row r="14" spans="1:23" x14ac:dyDescent="0.25">
      <c r="A14" s="3">
        <f t="shared" si="4"/>
        <v>13</v>
      </c>
      <c r="B14" s="3" t="s">
        <v>43</v>
      </c>
      <c r="C14" s="3" t="s">
        <v>44</v>
      </c>
      <c r="D14" s="3" t="s">
        <v>20</v>
      </c>
      <c r="E14" s="3">
        <v>0</v>
      </c>
      <c r="F14" s="3">
        <v>0</v>
      </c>
      <c r="G14" s="4">
        <v>0</v>
      </c>
      <c r="H14" s="5">
        <v>111312</v>
      </c>
      <c r="I14" s="5">
        <v>404658</v>
      </c>
      <c r="J14" s="5">
        <v>710811</v>
      </c>
      <c r="K14" s="5">
        <v>200601</v>
      </c>
      <c r="L14" s="5">
        <v>653967</v>
      </c>
      <c r="M14" s="5">
        <v>496368</v>
      </c>
      <c r="N14" s="5">
        <v>682303</v>
      </c>
      <c r="O14" s="5">
        <v>1621899</v>
      </c>
      <c r="P14" s="5">
        <v>260208</v>
      </c>
      <c r="Q14" s="5">
        <v>5142127</v>
      </c>
      <c r="R14" s="11">
        <f>SUM($Q$2:Q14)/SUM($Q:$Q)</f>
        <v>0.58967565068559313</v>
      </c>
      <c r="S14" s="12" t="str">
        <f t="shared" si="0"/>
        <v>A</v>
      </c>
      <c r="T14" s="6">
        <v>1.9599999999999999E-2</v>
      </c>
      <c r="U14" s="14">
        <f t="shared" si="1"/>
        <v>9</v>
      </c>
      <c r="V14" s="15">
        <f t="shared" si="2"/>
        <v>2564410</v>
      </c>
      <c r="W14" s="14" t="str">
        <f t="shared" si="3"/>
        <v>BAJO</v>
      </c>
    </row>
    <row r="15" spans="1:23" x14ac:dyDescent="0.25">
      <c r="A15" s="3">
        <f t="shared" si="4"/>
        <v>14</v>
      </c>
      <c r="B15" s="3" t="s">
        <v>45</v>
      </c>
      <c r="C15" s="3" t="s">
        <v>46</v>
      </c>
      <c r="D15" s="3" t="s">
        <v>20</v>
      </c>
      <c r="E15" s="3">
        <v>0</v>
      </c>
      <c r="F15" s="3">
        <v>0</v>
      </c>
      <c r="G15" s="5">
        <v>553300</v>
      </c>
      <c r="H15" s="5">
        <v>475605</v>
      </c>
      <c r="I15" s="4">
        <v>0</v>
      </c>
      <c r="J15" s="5">
        <v>591534</v>
      </c>
      <c r="K15" s="5">
        <v>1504500</v>
      </c>
      <c r="L15" s="5">
        <v>276370</v>
      </c>
      <c r="M15" s="4">
        <v>0</v>
      </c>
      <c r="N15" s="5">
        <v>426790</v>
      </c>
      <c r="O15" s="5">
        <v>538960</v>
      </c>
      <c r="P15" s="5">
        <v>635250</v>
      </c>
      <c r="Q15" s="5">
        <v>5002309</v>
      </c>
      <c r="R15" s="11">
        <f>SUM($Q$2:Q15)/SUM($Q:$Q)</f>
        <v>0.6087124716321034</v>
      </c>
      <c r="S15" s="12" t="str">
        <f t="shared" si="0"/>
        <v>A</v>
      </c>
      <c r="T15" s="6">
        <v>1.9E-2</v>
      </c>
      <c r="U15" s="14">
        <f t="shared" si="1"/>
        <v>8</v>
      </c>
      <c r="V15" s="15">
        <f t="shared" si="2"/>
        <v>1601000</v>
      </c>
      <c r="W15" s="14" t="str">
        <f t="shared" si="3"/>
        <v>BAJO</v>
      </c>
    </row>
    <row r="16" spans="1:23" x14ac:dyDescent="0.25">
      <c r="A16" s="3">
        <f t="shared" si="4"/>
        <v>15</v>
      </c>
      <c r="B16" s="3" t="s">
        <v>47</v>
      </c>
      <c r="C16" s="3" t="s">
        <v>48</v>
      </c>
      <c r="D16" s="3" t="s">
        <v>20</v>
      </c>
      <c r="E16" s="3">
        <v>0</v>
      </c>
      <c r="F16" s="3">
        <v>0</v>
      </c>
      <c r="G16" s="5">
        <v>547651</v>
      </c>
      <c r="H16" s="5">
        <v>562180</v>
      </c>
      <c r="I16" s="5">
        <v>503150</v>
      </c>
      <c r="J16" s="5">
        <v>226445</v>
      </c>
      <c r="K16" s="5">
        <v>349870</v>
      </c>
      <c r="L16" s="5">
        <v>535720</v>
      </c>
      <c r="M16" s="5">
        <v>535910</v>
      </c>
      <c r="N16" s="5">
        <v>1345200</v>
      </c>
      <c r="O16" s="5">
        <v>383300</v>
      </c>
      <c r="P16" s="4">
        <v>0</v>
      </c>
      <c r="Q16" s="5">
        <v>4989426</v>
      </c>
      <c r="R16" s="11">
        <f>SUM($Q$2:Q16)/SUM($Q:$Q)</f>
        <v>0.62770026494672315</v>
      </c>
      <c r="S16" s="12" t="str">
        <f t="shared" si="0"/>
        <v>A</v>
      </c>
      <c r="T16" s="6">
        <v>1.9E-2</v>
      </c>
      <c r="U16" s="14">
        <f t="shared" si="1"/>
        <v>9</v>
      </c>
      <c r="V16" s="15">
        <f t="shared" si="2"/>
        <v>1728500</v>
      </c>
      <c r="W16" s="14" t="str">
        <f t="shared" si="3"/>
        <v>BAJO</v>
      </c>
    </row>
    <row r="17" spans="1:23" x14ac:dyDescent="0.25">
      <c r="A17" s="3">
        <f t="shared" si="4"/>
        <v>16</v>
      </c>
      <c r="B17" s="3" t="s">
        <v>49</v>
      </c>
      <c r="C17" s="3" t="s">
        <v>50</v>
      </c>
      <c r="D17" s="3" t="s">
        <v>20</v>
      </c>
      <c r="E17" s="3">
        <v>0</v>
      </c>
      <c r="F17" s="3">
        <v>0</v>
      </c>
      <c r="G17" s="4">
        <v>0</v>
      </c>
      <c r="H17" s="4">
        <v>0</v>
      </c>
      <c r="I17" s="5">
        <v>1198449</v>
      </c>
      <c r="J17" s="5">
        <v>131655</v>
      </c>
      <c r="K17" s="5">
        <v>169353</v>
      </c>
      <c r="L17" s="5">
        <v>861633</v>
      </c>
      <c r="M17" s="5">
        <v>214137</v>
      </c>
      <c r="N17" s="5">
        <v>367722</v>
      </c>
      <c r="O17" s="5">
        <v>1170423</v>
      </c>
      <c r="P17" s="5">
        <v>831874</v>
      </c>
      <c r="Q17" s="5">
        <v>4945246</v>
      </c>
      <c r="R17" s="11">
        <f>SUM($Q$2:Q17)/SUM($Q:$Q)</f>
        <v>0.64651992655468182</v>
      </c>
      <c r="S17" s="12" t="str">
        <f t="shared" si="0"/>
        <v>A</v>
      </c>
      <c r="T17" s="6">
        <v>1.8800000000000001E-2</v>
      </c>
      <c r="U17" s="14">
        <f t="shared" si="1"/>
        <v>8</v>
      </c>
      <c r="V17" s="15">
        <f t="shared" si="2"/>
        <v>2370019</v>
      </c>
      <c r="W17" s="14" t="str">
        <f t="shared" si="3"/>
        <v>BAJO</v>
      </c>
    </row>
    <row r="18" spans="1:23" x14ac:dyDescent="0.25">
      <c r="A18" s="3">
        <f t="shared" si="4"/>
        <v>17</v>
      </c>
      <c r="B18" s="3" t="s">
        <v>51</v>
      </c>
      <c r="C18" s="3" t="s">
        <v>52</v>
      </c>
      <c r="D18" s="3" t="s">
        <v>20</v>
      </c>
      <c r="E18" s="3">
        <v>0</v>
      </c>
      <c r="F18" s="3">
        <v>0</v>
      </c>
      <c r="G18" s="5">
        <v>520797</v>
      </c>
      <c r="H18" s="5">
        <v>157059</v>
      </c>
      <c r="I18" s="5">
        <v>422313</v>
      </c>
      <c r="J18" s="5">
        <v>423031</v>
      </c>
      <c r="K18" s="5">
        <v>219067</v>
      </c>
      <c r="L18" s="5">
        <v>190628</v>
      </c>
      <c r="M18" s="5">
        <v>260893</v>
      </c>
      <c r="N18" s="5">
        <v>651584</v>
      </c>
      <c r="O18" s="5">
        <v>1331279</v>
      </c>
      <c r="P18" s="5">
        <v>694274</v>
      </c>
      <c r="Q18" s="5">
        <v>4870925</v>
      </c>
      <c r="R18" s="11">
        <f>SUM($Q$2:Q18)/SUM($Q:$Q)</f>
        <v>0.66505675166262301</v>
      </c>
      <c r="S18" s="12" t="str">
        <f t="shared" si="0"/>
        <v>A</v>
      </c>
      <c r="T18" s="6">
        <v>1.8499999999999999E-2</v>
      </c>
      <c r="U18" s="14">
        <f t="shared" si="1"/>
        <v>10</v>
      </c>
      <c r="V18" s="15">
        <f t="shared" si="2"/>
        <v>2677137</v>
      </c>
      <c r="W18" s="14" t="str">
        <f t="shared" si="3"/>
        <v>BAJO</v>
      </c>
    </row>
    <row r="19" spans="1:23" x14ac:dyDescent="0.25">
      <c r="A19" s="3">
        <f t="shared" si="4"/>
        <v>18</v>
      </c>
      <c r="B19" s="3" t="s">
        <v>53</v>
      </c>
      <c r="C19" s="3" t="s">
        <v>54</v>
      </c>
      <c r="D19" s="3" t="s">
        <v>20</v>
      </c>
      <c r="E19" s="3">
        <v>0</v>
      </c>
      <c r="F19" s="3">
        <v>0</v>
      </c>
      <c r="G19" s="5">
        <v>849348</v>
      </c>
      <c r="H19" s="4">
        <v>0</v>
      </c>
      <c r="I19" s="5">
        <v>801369</v>
      </c>
      <c r="J19" s="5">
        <v>1005676</v>
      </c>
      <c r="K19" s="4">
        <v>0</v>
      </c>
      <c r="L19" s="4">
        <v>0</v>
      </c>
      <c r="M19" s="5">
        <v>820854</v>
      </c>
      <c r="N19" s="5">
        <v>393913</v>
      </c>
      <c r="O19" s="5">
        <v>980874</v>
      </c>
      <c r="P19" s="4">
        <v>0</v>
      </c>
      <c r="Q19" s="5">
        <v>4852034</v>
      </c>
      <c r="R19" s="11">
        <f>SUM($Q$2:Q19)/SUM($Q:$Q)</f>
        <v>0.68352168505325905</v>
      </c>
      <c r="S19" s="12" t="str">
        <f t="shared" si="0"/>
        <v>A</v>
      </c>
      <c r="T19" s="6">
        <v>1.8499999999999999E-2</v>
      </c>
      <c r="U19" s="14">
        <f t="shared" si="1"/>
        <v>6</v>
      </c>
      <c r="V19" s="15">
        <f t="shared" si="2"/>
        <v>1374787</v>
      </c>
      <c r="W19" s="14" t="str">
        <f t="shared" si="3"/>
        <v>MEDIO</v>
      </c>
    </row>
    <row r="20" spans="1:23" x14ac:dyDescent="0.25">
      <c r="A20" s="3">
        <f t="shared" si="4"/>
        <v>19</v>
      </c>
      <c r="B20" s="3" t="s">
        <v>55</v>
      </c>
      <c r="C20" s="3" t="s">
        <v>56</v>
      </c>
      <c r="D20" s="3" t="s">
        <v>20</v>
      </c>
      <c r="E20" s="3">
        <v>0</v>
      </c>
      <c r="F20" s="3">
        <v>0</v>
      </c>
      <c r="G20" s="5">
        <v>155260</v>
      </c>
      <c r="H20" s="5">
        <v>331330</v>
      </c>
      <c r="I20" s="5">
        <v>395280</v>
      </c>
      <c r="J20" s="5">
        <v>250440</v>
      </c>
      <c r="K20" s="5">
        <v>298830</v>
      </c>
      <c r="L20" s="5">
        <v>531640</v>
      </c>
      <c r="M20" s="5">
        <v>171510</v>
      </c>
      <c r="N20" s="5">
        <v>731900</v>
      </c>
      <c r="O20" s="5">
        <v>962990</v>
      </c>
      <c r="P20" s="5">
        <v>599513</v>
      </c>
      <c r="Q20" s="5">
        <v>4428693</v>
      </c>
      <c r="R20" s="11">
        <f>SUM($Q$2:Q20)/SUM($Q:$Q)</f>
        <v>0.70037554907246768</v>
      </c>
      <c r="S20" s="12" t="str">
        <f t="shared" si="0"/>
        <v>A</v>
      </c>
      <c r="T20" s="6">
        <v>1.6899999999999998E-2</v>
      </c>
      <c r="U20" s="14">
        <f t="shared" si="1"/>
        <v>10</v>
      </c>
      <c r="V20" s="15">
        <f t="shared" si="2"/>
        <v>2294403</v>
      </c>
      <c r="W20" s="14" t="str">
        <f t="shared" si="3"/>
        <v>BAJO</v>
      </c>
    </row>
    <row r="21" spans="1:23" x14ac:dyDescent="0.25">
      <c r="A21" s="3">
        <f t="shared" si="4"/>
        <v>20</v>
      </c>
      <c r="B21" s="3" t="s">
        <v>57</v>
      </c>
      <c r="C21" s="3" t="s">
        <v>58</v>
      </c>
      <c r="D21" s="3" t="s">
        <v>20</v>
      </c>
      <c r="E21" s="3">
        <v>0</v>
      </c>
      <c r="F21" s="3">
        <v>0</v>
      </c>
      <c r="G21" s="4">
        <v>0</v>
      </c>
      <c r="H21" s="5">
        <v>492346</v>
      </c>
      <c r="I21" s="5">
        <v>336781</v>
      </c>
      <c r="J21" s="5">
        <v>209341</v>
      </c>
      <c r="K21" s="5">
        <v>438536</v>
      </c>
      <c r="L21" s="5">
        <v>42144</v>
      </c>
      <c r="M21" s="5">
        <v>249977</v>
      </c>
      <c r="N21" s="5">
        <v>646918</v>
      </c>
      <c r="O21" s="5">
        <v>1112110</v>
      </c>
      <c r="P21" s="5">
        <v>753896</v>
      </c>
      <c r="Q21" s="5">
        <v>4282049</v>
      </c>
      <c r="R21" s="11">
        <f>SUM($Q$2:Q21)/SUM($Q:$Q)</f>
        <v>0.71667134369394803</v>
      </c>
      <c r="S21" s="12" t="str">
        <f t="shared" si="0"/>
        <v>A</v>
      </c>
      <c r="T21" s="6">
        <v>1.6299999999999999E-2</v>
      </c>
      <c r="U21" s="14">
        <f t="shared" si="1"/>
        <v>9</v>
      </c>
      <c r="V21" s="15">
        <f t="shared" si="2"/>
        <v>2512924</v>
      </c>
      <c r="W21" s="14" t="str">
        <f t="shared" si="3"/>
        <v>BAJO</v>
      </c>
    </row>
    <row r="22" spans="1:23" x14ac:dyDescent="0.25">
      <c r="A22" s="3">
        <f t="shared" si="4"/>
        <v>21</v>
      </c>
      <c r="B22" s="3" t="s">
        <v>59</v>
      </c>
      <c r="C22" s="3" t="s">
        <v>60</v>
      </c>
      <c r="D22" s="3" t="s">
        <v>20</v>
      </c>
      <c r="E22" s="3">
        <v>0</v>
      </c>
      <c r="F22" s="3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5">
        <v>214146</v>
      </c>
      <c r="M22" s="5">
        <v>679658</v>
      </c>
      <c r="N22" s="5">
        <v>909639</v>
      </c>
      <c r="O22" s="5">
        <v>1456013</v>
      </c>
      <c r="P22" s="5">
        <v>935741</v>
      </c>
      <c r="Q22" s="5">
        <v>4195197</v>
      </c>
      <c r="R22" s="11">
        <f>SUM($Q$2:Q22)/SUM($Q:$Q)</f>
        <v>0.73263661375710021</v>
      </c>
      <c r="S22" s="12" t="str">
        <f t="shared" si="0"/>
        <v>A</v>
      </c>
      <c r="T22" s="6">
        <v>1.6E-2</v>
      </c>
      <c r="U22" s="14">
        <f t="shared" si="1"/>
        <v>5</v>
      </c>
      <c r="V22" s="15">
        <f t="shared" si="2"/>
        <v>3301393</v>
      </c>
      <c r="W22" s="14" t="str">
        <f t="shared" si="3"/>
        <v>MEDIO</v>
      </c>
    </row>
    <row r="23" spans="1:23" x14ac:dyDescent="0.25">
      <c r="A23" s="3">
        <f t="shared" si="4"/>
        <v>22</v>
      </c>
      <c r="B23" s="3" t="s">
        <v>61</v>
      </c>
      <c r="C23" s="3" t="s">
        <v>62</v>
      </c>
      <c r="D23" s="3" t="s">
        <v>20</v>
      </c>
      <c r="E23" s="3">
        <v>0</v>
      </c>
      <c r="F23" s="3">
        <v>0</v>
      </c>
      <c r="G23" s="5">
        <v>573260</v>
      </c>
      <c r="H23" s="5">
        <v>231980</v>
      </c>
      <c r="I23" s="5">
        <v>59840</v>
      </c>
      <c r="J23" s="5">
        <v>129890</v>
      </c>
      <c r="K23" s="5">
        <v>232510</v>
      </c>
      <c r="L23" s="5">
        <v>231200</v>
      </c>
      <c r="M23" s="5">
        <v>109200</v>
      </c>
      <c r="N23" s="5">
        <v>706330</v>
      </c>
      <c r="O23" s="5">
        <v>998180</v>
      </c>
      <c r="P23" s="5">
        <v>561420</v>
      </c>
      <c r="Q23" s="5">
        <v>3833810</v>
      </c>
      <c r="R23" s="11">
        <f>SUM($Q$2:Q23)/SUM($Q:$Q)</f>
        <v>0.74722658701004008</v>
      </c>
      <c r="S23" s="12" t="str">
        <f t="shared" si="0"/>
        <v>A</v>
      </c>
      <c r="T23" s="6">
        <v>1.46E-2</v>
      </c>
      <c r="U23" s="14">
        <f t="shared" si="1"/>
        <v>10</v>
      </c>
      <c r="V23" s="15">
        <f t="shared" si="2"/>
        <v>2265930</v>
      </c>
      <c r="W23" s="14" t="str">
        <f t="shared" si="3"/>
        <v>BAJO</v>
      </c>
    </row>
    <row r="24" spans="1:23" x14ac:dyDescent="0.25">
      <c r="A24" s="3">
        <f t="shared" si="4"/>
        <v>23</v>
      </c>
      <c r="B24" s="3" t="s">
        <v>63</v>
      </c>
      <c r="C24" s="3" t="s">
        <v>64</v>
      </c>
      <c r="D24" s="3" t="s">
        <v>20</v>
      </c>
      <c r="E24" s="3">
        <v>0</v>
      </c>
      <c r="F24" s="3">
        <v>0</v>
      </c>
      <c r="G24" s="5">
        <v>420990</v>
      </c>
      <c r="H24" s="5">
        <v>365370</v>
      </c>
      <c r="I24" s="5">
        <v>405285</v>
      </c>
      <c r="J24" s="5">
        <v>174076</v>
      </c>
      <c r="K24" s="5">
        <v>210785</v>
      </c>
      <c r="L24" s="5">
        <v>243928</v>
      </c>
      <c r="M24" s="5">
        <v>221508</v>
      </c>
      <c r="N24" s="5">
        <v>615897</v>
      </c>
      <c r="O24" s="5">
        <v>241829</v>
      </c>
      <c r="P24" s="5">
        <v>864061</v>
      </c>
      <c r="Q24" s="5">
        <v>3763729</v>
      </c>
      <c r="R24" s="11">
        <f>SUM($Q$2:Q24)/SUM($Q:$Q)</f>
        <v>0.76154985953562537</v>
      </c>
      <c r="S24" s="12" t="str">
        <f t="shared" si="0"/>
        <v>A</v>
      </c>
      <c r="T24" s="6">
        <v>1.43E-2</v>
      </c>
      <c r="U24" s="14">
        <f t="shared" si="1"/>
        <v>10</v>
      </c>
      <c r="V24" s="15">
        <f t="shared" si="2"/>
        <v>1721787</v>
      </c>
      <c r="W24" s="14" t="str">
        <f t="shared" si="3"/>
        <v>BAJO</v>
      </c>
    </row>
    <row r="25" spans="1:23" x14ac:dyDescent="0.25">
      <c r="A25" s="3">
        <f t="shared" si="4"/>
        <v>24</v>
      </c>
      <c r="B25" s="3" t="s">
        <v>65</v>
      </c>
      <c r="C25" s="3" t="s">
        <v>66</v>
      </c>
      <c r="D25" s="3" t="s">
        <v>20</v>
      </c>
      <c r="E25" s="3">
        <v>0</v>
      </c>
      <c r="F25" s="3">
        <v>0</v>
      </c>
      <c r="G25" s="4">
        <v>0</v>
      </c>
      <c r="H25" s="4">
        <v>0</v>
      </c>
      <c r="I25" s="4">
        <v>0</v>
      </c>
      <c r="J25" s="5">
        <v>75546</v>
      </c>
      <c r="K25" s="5">
        <v>1945683</v>
      </c>
      <c r="L25" s="4">
        <v>0</v>
      </c>
      <c r="M25" s="5">
        <v>461367</v>
      </c>
      <c r="N25" s="4">
        <v>0</v>
      </c>
      <c r="O25" s="5">
        <v>67446</v>
      </c>
      <c r="P25" s="5">
        <v>1138131</v>
      </c>
      <c r="Q25" s="5">
        <v>3688173</v>
      </c>
      <c r="R25" s="11">
        <f>SUM($Q$2:Q25)/SUM($Q:$Q)</f>
        <v>0.77558559563684448</v>
      </c>
      <c r="S25" s="12" t="str">
        <f t="shared" si="0"/>
        <v>A</v>
      </c>
      <c r="T25" s="6">
        <v>1.4E-2</v>
      </c>
      <c r="U25" s="14">
        <f t="shared" si="1"/>
        <v>5</v>
      </c>
      <c r="V25" s="15">
        <f t="shared" si="2"/>
        <v>1205577</v>
      </c>
      <c r="W25" s="14" t="str">
        <f t="shared" si="3"/>
        <v>MEDIO</v>
      </c>
    </row>
    <row r="26" spans="1:23" x14ac:dyDescent="0.25">
      <c r="A26" s="3">
        <f t="shared" si="4"/>
        <v>25</v>
      </c>
      <c r="B26" s="3" t="s">
        <v>67</v>
      </c>
      <c r="C26" s="3" t="s">
        <v>68</v>
      </c>
      <c r="D26" s="3" t="s">
        <v>20</v>
      </c>
      <c r="E26" s="3">
        <v>0</v>
      </c>
      <c r="F26" s="3">
        <v>0</v>
      </c>
      <c r="G26" s="5">
        <v>680589</v>
      </c>
      <c r="H26" s="4">
        <v>0</v>
      </c>
      <c r="I26" s="5">
        <v>623902</v>
      </c>
      <c r="J26" s="4">
        <v>0</v>
      </c>
      <c r="K26" s="5">
        <v>698382</v>
      </c>
      <c r="L26" s="5">
        <v>365855</v>
      </c>
      <c r="M26" s="5">
        <v>388691</v>
      </c>
      <c r="N26" s="5">
        <v>296664</v>
      </c>
      <c r="O26" s="5">
        <v>264582</v>
      </c>
      <c r="P26" s="5">
        <v>181611</v>
      </c>
      <c r="Q26" s="5">
        <v>3500276</v>
      </c>
      <c r="R26" s="11">
        <f>SUM($Q$2:Q26)/SUM($Q:$Q)</f>
        <v>0.78890626964466104</v>
      </c>
      <c r="S26" s="12" t="str">
        <f t="shared" si="0"/>
        <v>A</v>
      </c>
      <c r="T26" s="6">
        <v>1.3299999999999999E-2</v>
      </c>
      <c r="U26" s="14">
        <f t="shared" si="1"/>
        <v>8</v>
      </c>
      <c r="V26" s="15">
        <f t="shared" si="2"/>
        <v>742857</v>
      </c>
      <c r="W26" s="14" t="str">
        <f t="shared" si="3"/>
        <v>BAJO</v>
      </c>
    </row>
    <row r="27" spans="1:23" x14ac:dyDescent="0.25">
      <c r="A27" s="3">
        <f t="shared" si="4"/>
        <v>26</v>
      </c>
      <c r="B27" s="3" t="s">
        <v>69</v>
      </c>
      <c r="C27" s="3" t="s">
        <v>70</v>
      </c>
      <c r="D27" s="3" t="s">
        <v>20</v>
      </c>
      <c r="E27" s="3">
        <v>0</v>
      </c>
      <c r="F27" s="3">
        <v>0</v>
      </c>
      <c r="G27" s="5">
        <v>274680</v>
      </c>
      <c r="H27" s="4">
        <v>0</v>
      </c>
      <c r="I27" s="5">
        <v>227600</v>
      </c>
      <c r="J27" s="5">
        <v>250360</v>
      </c>
      <c r="K27" s="5">
        <v>379968</v>
      </c>
      <c r="L27" s="5">
        <v>393885</v>
      </c>
      <c r="M27" s="5">
        <v>488764</v>
      </c>
      <c r="N27" s="5">
        <v>893240</v>
      </c>
      <c r="O27" s="5">
        <v>82251</v>
      </c>
      <c r="P27" s="5">
        <v>278685</v>
      </c>
      <c r="Q27" s="5">
        <v>3269433</v>
      </c>
      <c r="R27" s="11">
        <f>SUM($Q$2:Q27)/SUM($Q:$Q)</f>
        <v>0.80134844597115573</v>
      </c>
      <c r="S27" s="12" t="str">
        <f t="shared" si="0"/>
        <v>B</v>
      </c>
      <c r="T27" s="6">
        <v>1.24E-2</v>
      </c>
      <c r="U27" s="14">
        <f t="shared" si="1"/>
        <v>9</v>
      </c>
      <c r="V27" s="15">
        <f t="shared" si="2"/>
        <v>1254176</v>
      </c>
      <c r="W27" s="14" t="str">
        <f t="shared" si="3"/>
        <v>BAJO</v>
      </c>
    </row>
    <row r="28" spans="1:23" x14ac:dyDescent="0.25">
      <c r="A28" s="3">
        <f t="shared" si="4"/>
        <v>27</v>
      </c>
      <c r="B28" s="3" t="s">
        <v>71</v>
      </c>
      <c r="C28" s="3" t="s">
        <v>72</v>
      </c>
      <c r="D28" s="3" t="s">
        <v>20</v>
      </c>
      <c r="E28" s="3">
        <v>0</v>
      </c>
      <c r="F28" s="3">
        <v>0</v>
      </c>
      <c r="G28" s="5">
        <v>367260</v>
      </c>
      <c r="H28" s="5">
        <v>96240</v>
      </c>
      <c r="I28" s="5">
        <v>105040</v>
      </c>
      <c r="J28" s="5">
        <v>83540</v>
      </c>
      <c r="K28" s="5">
        <v>320170</v>
      </c>
      <c r="L28" s="5">
        <v>374960</v>
      </c>
      <c r="M28" s="5">
        <v>421790</v>
      </c>
      <c r="N28" s="5">
        <v>321520</v>
      </c>
      <c r="O28" s="5">
        <v>619310</v>
      </c>
      <c r="P28" s="5">
        <v>423120</v>
      </c>
      <c r="Q28" s="5">
        <v>3132950</v>
      </c>
      <c r="R28" s="11">
        <f>SUM($Q$2:Q28)/SUM($Q:$Q)</f>
        <v>0.81327122167021182</v>
      </c>
      <c r="S28" s="12" t="str">
        <f t="shared" si="0"/>
        <v>B</v>
      </c>
      <c r="T28" s="6">
        <v>1.1900000000000001E-2</v>
      </c>
      <c r="U28" s="14">
        <f t="shared" si="1"/>
        <v>10</v>
      </c>
      <c r="V28" s="15">
        <f t="shared" si="2"/>
        <v>1363950</v>
      </c>
      <c r="W28" s="14" t="str">
        <f t="shared" si="3"/>
        <v>BAJO</v>
      </c>
    </row>
    <row r="29" spans="1:23" x14ac:dyDescent="0.25">
      <c r="A29" s="3">
        <f t="shared" si="4"/>
        <v>28</v>
      </c>
      <c r="B29" s="3" t="s">
        <v>73</v>
      </c>
      <c r="C29" s="3" t="s">
        <v>74</v>
      </c>
      <c r="D29" s="3" t="s">
        <v>20</v>
      </c>
      <c r="E29" s="3">
        <v>0</v>
      </c>
      <c r="F29" s="3">
        <v>0</v>
      </c>
      <c r="G29" s="5">
        <v>336870</v>
      </c>
      <c r="H29" s="5">
        <v>256520</v>
      </c>
      <c r="I29" s="5">
        <v>354740</v>
      </c>
      <c r="J29" s="5">
        <v>456280</v>
      </c>
      <c r="K29" s="5">
        <v>229290</v>
      </c>
      <c r="L29" s="5">
        <v>358960</v>
      </c>
      <c r="M29" s="5">
        <v>149570</v>
      </c>
      <c r="N29" s="5">
        <v>387790</v>
      </c>
      <c r="O29" s="5">
        <v>258520</v>
      </c>
      <c r="P29" s="5">
        <v>142170</v>
      </c>
      <c r="Q29" s="5">
        <v>2930710</v>
      </c>
      <c r="R29" s="11">
        <f>SUM($Q$2:Q29)/SUM($Q:$Q)</f>
        <v>0.82442435145810511</v>
      </c>
      <c r="S29" s="12" t="str">
        <f t="shared" si="0"/>
        <v>B</v>
      </c>
      <c r="T29" s="6">
        <v>1.12E-2</v>
      </c>
      <c r="U29" s="14">
        <f t="shared" si="1"/>
        <v>10</v>
      </c>
      <c r="V29" s="15">
        <f t="shared" si="2"/>
        <v>788480</v>
      </c>
      <c r="W29" s="14" t="str">
        <f t="shared" si="3"/>
        <v>BAJO</v>
      </c>
    </row>
    <row r="30" spans="1:23" x14ac:dyDescent="0.25">
      <c r="A30" s="3">
        <f t="shared" si="4"/>
        <v>29</v>
      </c>
      <c r="B30" s="3" t="s">
        <v>75</v>
      </c>
      <c r="C30" s="3" t="s">
        <v>76</v>
      </c>
      <c r="D30" s="3" t="s">
        <v>20</v>
      </c>
      <c r="E30" s="3">
        <v>0</v>
      </c>
      <c r="F30" s="3">
        <v>0</v>
      </c>
      <c r="G30" s="5">
        <v>731863</v>
      </c>
      <c r="H30" s="5">
        <v>215622</v>
      </c>
      <c r="I30" s="5">
        <v>376470</v>
      </c>
      <c r="J30" s="5">
        <v>463095</v>
      </c>
      <c r="K30" s="5">
        <v>174006</v>
      </c>
      <c r="L30" s="5">
        <v>157986</v>
      </c>
      <c r="M30" s="4">
        <v>0</v>
      </c>
      <c r="N30" s="5">
        <v>542628</v>
      </c>
      <c r="O30" s="4">
        <v>0</v>
      </c>
      <c r="P30" s="5">
        <v>146259</v>
      </c>
      <c r="Q30" s="5">
        <v>2807929</v>
      </c>
      <c r="R30" s="11">
        <f>SUM($Q$2:Q30)/SUM($Q:$Q)</f>
        <v>0.83511022504238652</v>
      </c>
      <c r="S30" s="12" t="str">
        <f t="shared" si="0"/>
        <v>B</v>
      </c>
      <c r="T30" s="6">
        <v>1.0699999999999999E-2</v>
      </c>
      <c r="U30" s="14">
        <f t="shared" si="1"/>
        <v>8</v>
      </c>
      <c r="V30" s="15">
        <f t="shared" si="2"/>
        <v>688887</v>
      </c>
      <c r="W30" s="14" t="str">
        <f t="shared" si="3"/>
        <v>BAJO</v>
      </c>
    </row>
    <row r="31" spans="1:23" x14ac:dyDescent="0.25">
      <c r="A31" s="3">
        <f t="shared" si="4"/>
        <v>30</v>
      </c>
      <c r="B31" s="3" t="s">
        <v>77</v>
      </c>
      <c r="C31" s="3" t="s">
        <v>78</v>
      </c>
      <c r="D31" s="3" t="s">
        <v>20</v>
      </c>
      <c r="E31" s="3">
        <v>0</v>
      </c>
      <c r="F31" s="3">
        <v>0</v>
      </c>
      <c r="G31" s="4">
        <v>0</v>
      </c>
      <c r="H31" s="5">
        <v>1930530</v>
      </c>
      <c r="I31" s="5">
        <v>613901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5">
        <v>2544431</v>
      </c>
      <c r="R31" s="11">
        <f>SUM($Q$2:Q31)/SUM($Q:$Q)</f>
        <v>0.84479332885659508</v>
      </c>
      <c r="S31" s="12" t="str">
        <f t="shared" si="0"/>
        <v>B</v>
      </c>
      <c r="T31" s="6">
        <v>9.7000000000000003E-3</v>
      </c>
      <c r="U31" s="14">
        <f t="shared" si="1"/>
        <v>2</v>
      </c>
      <c r="V31" s="15">
        <f t="shared" si="2"/>
        <v>0</v>
      </c>
      <c r="W31" s="14" t="str">
        <f t="shared" si="3"/>
        <v>ALTO</v>
      </c>
    </row>
    <row r="32" spans="1:23" x14ac:dyDescent="0.25">
      <c r="A32" s="3">
        <f t="shared" si="4"/>
        <v>31</v>
      </c>
      <c r="B32" s="3" t="s">
        <v>79</v>
      </c>
      <c r="C32" s="3" t="s">
        <v>80</v>
      </c>
      <c r="D32" s="3" t="s">
        <v>20</v>
      </c>
      <c r="E32" s="3">
        <v>0</v>
      </c>
      <c r="F32" s="3">
        <v>0</v>
      </c>
      <c r="G32" s="5">
        <v>54450</v>
      </c>
      <c r="H32" s="5">
        <v>294273</v>
      </c>
      <c r="I32" s="4">
        <v>0</v>
      </c>
      <c r="J32" s="4">
        <v>0</v>
      </c>
      <c r="K32" s="5">
        <v>347004</v>
      </c>
      <c r="L32" s="5">
        <v>234891</v>
      </c>
      <c r="M32" s="5">
        <v>685377</v>
      </c>
      <c r="N32" s="5">
        <v>209484</v>
      </c>
      <c r="O32" s="5">
        <v>448029</v>
      </c>
      <c r="P32" s="5">
        <v>181908</v>
      </c>
      <c r="Q32" s="5">
        <v>2455416</v>
      </c>
      <c r="R32" s="11">
        <f>SUM($Q$2:Q32)/SUM($Q:$Q)</f>
        <v>0.85413767658505335</v>
      </c>
      <c r="S32" s="12" t="str">
        <f t="shared" si="0"/>
        <v>B</v>
      </c>
      <c r="T32" s="6">
        <v>9.2999999999999992E-3</v>
      </c>
      <c r="U32" s="14">
        <f t="shared" si="1"/>
        <v>8</v>
      </c>
      <c r="V32" s="15">
        <f t="shared" si="2"/>
        <v>839421</v>
      </c>
      <c r="W32" s="14" t="str">
        <f t="shared" si="3"/>
        <v>BAJO</v>
      </c>
    </row>
    <row r="33" spans="1:23" x14ac:dyDescent="0.25">
      <c r="A33" s="3">
        <f t="shared" si="4"/>
        <v>32</v>
      </c>
      <c r="B33" s="3" t="s">
        <v>81</v>
      </c>
      <c r="C33" s="3" t="s">
        <v>82</v>
      </c>
      <c r="D33" s="3" t="s">
        <v>20</v>
      </c>
      <c r="E33" s="3">
        <v>0</v>
      </c>
      <c r="F33" s="3">
        <v>0</v>
      </c>
      <c r="G33" s="4">
        <v>0</v>
      </c>
      <c r="H33" s="4">
        <v>0</v>
      </c>
      <c r="I33" s="4">
        <v>0</v>
      </c>
      <c r="J33" s="5">
        <v>342210</v>
      </c>
      <c r="K33" s="5">
        <v>219290</v>
      </c>
      <c r="L33" s="5">
        <v>472190</v>
      </c>
      <c r="M33" s="5">
        <v>316430</v>
      </c>
      <c r="N33" s="5">
        <v>90380</v>
      </c>
      <c r="O33" s="5">
        <v>607960</v>
      </c>
      <c r="P33" s="5">
        <v>406190</v>
      </c>
      <c r="Q33" s="5">
        <v>2454650</v>
      </c>
      <c r="R33" s="11">
        <f>SUM($Q$2:Q33)/SUM($Q:$Q)</f>
        <v>0.86347910921873339</v>
      </c>
      <c r="S33" s="12" t="str">
        <f t="shared" si="0"/>
        <v>B</v>
      </c>
      <c r="T33" s="6">
        <v>9.2999999999999992E-3</v>
      </c>
      <c r="U33" s="14">
        <f t="shared" si="1"/>
        <v>7</v>
      </c>
      <c r="V33" s="15">
        <f t="shared" si="2"/>
        <v>1104530</v>
      </c>
      <c r="W33" s="14" t="str">
        <f t="shared" si="3"/>
        <v>MEDIO</v>
      </c>
    </row>
    <row r="34" spans="1:23" x14ac:dyDescent="0.25">
      <c r="A34" s="3">
        <f t="shared" si="4"/>
        <v>33</v>
      </c>
      <c r="B34" s="3" t="s">
        <v>83</v>
      </c>
      <c r="C34" s="3" t="s">
        <v>84</v>
      </c>
      <c r="D34" s="3" t="s">
        <v>20</v>
      </c>
      <c r="E34" s="3">
        <v>0</v>
      </c>
      <c r="F34" s="3">
        <v>0</v>
      </c>
      <c r="G34" s="5">
        <v>286810</v>
      </c>
      <c r="H34" s="5">
        <v>117840</v>
      </c>
      <c r="I34" s="5">
        <v>450850</v>
      </c>
      <c r="J34" s="5">
        <v>311310</v>
      </c>
      <c r="K34" s="5">
        <v>127530</v>
      </c>
      <c r="L34" s="5">
        <v>301560</v>
      </c>
      <c r="M34" s="5">
        <v>104470</v>
      </c>
      <c r="N34" s="5">
        <v>100200</v>
      </c>
      <c r="O34" s="5">
        <v>185330</v>
      </c>
      <c r="P34" s="5">
        <v>271960</v>
      </c>
      <c r="Q34" s="5">
        <v>2257860</v>
      </c>
      <c r="R34" s="11">
        <f>SUM($Q$2:Q34)/SUM($Q:$Q)</f>
        <v>0.87207163649809327</v>
      </c>
      <c r="S34" s="12" t="str">
        <f t="shared" si="0"/>
        <v>B</v>
      </c>
      <c r="T34" s="6">
        <v>8.6E-3</v>
      </c>
      <c r="U34" s="14">
        <f t="shared" si="1"/>
        <v>10</v>
      </c>
      <c r="V34" s="15">
        <f t="shared" si="2"/>
        <v>557490</v>
      </c>
      <c r="W34" s="14" t="str">
        <f t="shared" si="3"/>
        <v>BAJO</v>
      </c>
    </row>
    <row r="35" spans="1:23" x14ac:dyDescent="0.25">
      <c r="A35" s="3">
        <f t="shared" si="4"/>
        <v>34</v>
      </c>
      <c r="B35" s="3" t="s">
        <v>85</v>
      </c>
      <c r="C35" s="3" t="s">
        <v>86</v>
      </c>
      <c r="D35" s="3" t="s">
        <v>20</v>
      </c>
      <c r="E35" s="3">
        <v>0</v>
      </c>
      <c r="F35" s="3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635670</v>
      </c>
      <c r="M35" s="5">
        <v>165170</v>
      </c>
      <c r="N35" s="5">
        <v>483510</v>
      </c>
      <c r="O35" s="5">
        <v>410550</v>
      </c>
      <c r="P35" s="5">
        <v>499330</v>
      </c>
      <c r="Q35" s="5">
        <v>2194230</v>
      </c>
      <c r="R35" s="11">
        <f>SUM($Q$2:Q35)/SUM($Q:$Q)</f>
        <v>0.880422013019308</v>
      </c>
      <c r="S35" s="12" t="str">
        <f t="shared" si="0"/>
        <v>B</v>
      </c>
      <c r="T35" s="6">
        <v>8.3000000000000001E-3</v>
      </c>
      <c r="U35" s="14">
        <f t="shared" si="1"/>
        <v>5</v>
      </c>
      <c r="V35" s="15">
        <f t="shared" si="2"/>
        <v>1393390</v>
      </c>
      <c r="W35" s="14" t="str">
        <f t="shared" si="3"/>
        <v>MEDIO</v>
      </c>
    </row>
    <row r="36" spans="1:23" x14ac:dyDescent="0.25">
      <c r="A36" s="3">
        <f t="shared" si="4"/>
        <v>35</v>
      </c>
      <c r="B36" s="3" t="s">
        <v>87</v>
      </c>
      <c r="C36" s="3" t="s">
        <v>88</v>
      </c>
      <c r="D36" s="3" t="s">
        <v>20</v>
      </c>
      <c r="E36" s="3">
        <v>0</v>
      </c>
      <c r="F36" s="3">
        <v>0</v>
      </c>
      <c r="G36" s="5">
        <v>181266</v>
      </c>
      <c r="H36" s="5">
        <v>89991</v>
      </c>
      <c r="I36" s="4">
        <v>0</v>
      </c>
      <c r="J36" s="4">
        <v>0</v>
      </c>
      <c r="K36" s="5">
        <v>265459</v>
      </c>
      <c r="L36" s="4">
        <v>0</v>
      </c>
      <c r="M36" s="4">
        <v>0</v>
      </c>
      <c r="N36" s="4">
        <v>0</v>
      </c>
      <c r="O36" s="5">
        <v>1574503</v>
      </c>
      <c r="P36" s="4">
        <v>0</v>
      </c>
      <c r="Q36" s="5">
        <v>2111219</v>
      </c>
      <c r="R36" s="11">
        <f>SUM($Q$2:Q36)/SUM($Q:$Q)</f>
        <v>0.88845648231776009</v>
      </c>
      <c r="S36" s="12" t="str">
        <f t="shared" si="0"/>
        <v>B</v>
      </c>
      <c r="T36" s="6">
        <v>8.0000000000000002E-3</v>
      </c>
      <c r="U36" s="14">
        <f t="shared" si="1"/>
        <v>4</v>
      </c>
      <c r="V36" s="15">
        <f t="shared" si="2"/>
        <v>1574503</v>
      </c>
      <c r="W36" s="14" t="str">
        <f t="shared" si="3"/>
        <v>MEDIO</v>
      </c>
    </row>
    <row r="37" spans="1:23" x14ac:dyDescent="0.25">
      <c r="A37" s="3">
        <f t="shared" si="4"/>
        <v>36</v>
      </c>
      <c r="B37" s="3" t="s">
        <v>89</v>
      </c>
      <c r="C37" s="3" t="s">
        <v>90</v>
      </c>
      <c r="D37" s="3" t="s">
        <v>20</v>
      </c>
      <c r="E37" s="3">
        <v>0</v>
      </c>
      <c r="F37" s="3">
        <v>0</v>
      </c>
      <c r="G37" s="4">
        <v>0</v>
      </c>
      <c r="H37" s="4">
        <v>0</v>
      </c>
      <c r="I37" s="5">
        <v>299070</v>
      </c>
      <c r="J37" s="4">
        <v>0</v>
      </c>
      <c r="K37" s="5">
        <v>183564</v>
      </c>
      <c r="L37" s="4">
        <v>0</v>
      </c>
      <c r="M37" s="5">
        <v>954819</v>
      </c>
      <c r="N37" s="5">
        <v>133758</v>
      </c>
      <c r="O37" s="5">
        <v>301823</v>
      </c>
      <c r="P37" s="5">
        <v>201177</v>
      </c>
      <c r="Q37" s="5">
        <v>2074211</v>
      </c>
      <c r="R37" s="11">
        <f>SUM($Q$2:Q37)/SUM($Q:$Q)</f>
        <v>0.8963501137212343</v>
      </c>
      <c r="S37" s="12" t="str">
        <f t="shared" si="0"/>
        <v>B</v>
      </c>
      <c r="T37" s="6">
        <v>7.9000000000000008E-3</v>
      </c>
      <c r="U37" s="14">
        <f t="shared" si="1"/>
        <v>6</v>
      </c>
      <c r="V37" s="15">
        <f t="shared" si="2"/>
        <v>636758</v>
      </c>
      <c r="W37" s="14" t="str">
        <f t="shared" si="3"/>
        <v>MEDIO</v>
      </c>
    </row>
    <row r="38" spans="1:23" x14ac:dyDescent="0.25">
      <c r="A38" s="3">
        <f t="shared" si="4"/>
        <v>37</v>
      </c>
      <c r="B38" s="3" t="s">
        <v>91</v>
      </c>
      <c r="C38" s="3" t="s">
        <v>92</v>
      </c>
      <c r="D38" s="3" t="s">
        <v>20</v>
      </c>
      <c r="E38" s="3">
        <v>0</v>
      </c>
      <c r="F38" s="3">
        <v>0</v>
      </c>
      <c r="G38" s="5">
        <v>154329</v>
      </c>
      <c r="H38" s="4">
        <v>0</v>
      </c>
      <c r="I38" s="5">
        <v>164229</v>
      </c>
      <c r="J38" s="5">
        <v>146613</v>
      </c>
      <c r="K38" s="5">
        <v>155122</v>
      </c>
      <c r="L38" s="5">
        <v>389332</v>
      </c>
      <c r="M38" s="5">
        <v>251656</v>
      </c>
      <c r="N38" s="5">
        <v>201939</v>
      </c>
      <c r="O38" s="5">
        <v>185030</v>
      </c>
      <c r="P38" s="5">
        <v>229224</v>
      </c>
      <c r="Q38" s="5">
        <v>1877474</v>
      </c>
      <c r="R38" s="11">
        <f>SUM($Q$2:Q38)/SUM($Q:$Q)</f>
        <v>0.90349504146754667</v>
      </c>
      <c r="S38" s="12" t="str">
        <f t="shared" si="0"/>
        <v>B</v>
      </c>
      <c r="T38" s="6">
        <v>7.1000000000000004E-3</v>
      </c>
      <c r="U38" s="14">
        <f t="shared" si="1"/>
        <v>9</v>
      </c>
      <c r="V38" s="15">
        <f t="shared" si="2"/>
        <v>616193</v>
      </c>
      <c r="W38" s="14" t="str">
        <f t="shared" si="3"/>
        <v>BAJO</v>
      </c>
    </row>
    <row r="39" spans="1:23" x14ac:dyDescent="0.25">
      <c r="A39" s="3">
        <f t="shared" si="4"/>
        <v>38</v>
      </c>
      <c r="B39" s="3" t="s">
        <v>93</v>
      </c>
      <c r="C39" s="3" t="s">
        <v>94</v>
      </c>
      <c r="D39" s="3" t="s">
        <v>20</v>
      </c>
      <c r="E39" s="3">
        <v>0</v>
      </c>
      <c r="F39" s="3">
        <v>0</v>
      </c>
      <c r="G39" s="5">
        <v>333702</v>
      </c>
      <c r="H39" s="4">
        <v>0</v>
      </c>
      <c r="I39" s="4">
        <v>0</v>
      </c>
      <c r="J39" s="5">
        <v>537570</v>
      </c>
      <c r="K39" s="4">
        <v>0</v>
      </c>
      <c r="L39" s="4">
        <v>0</v>
      </c>
      <c r="M39" s="5">
        <v>114950</v>
      </c>
      <c r="N39" s="4">
        <v>0</v>
      </c>
      <c r="O39" s="5">
        <v>630972</v>
      </c>
      <c r="P39" s="4">
        <v>0</v>
      </c>
      <c r="Q39" s="5">
        <v>1617194</v>
      </c>
      <c r="R39" s="11">
        <f>SUM($Q$2:Q39)/SUM($Q:$Q)</f>
        <v>0.90964944588634022</v>
      </c>
      <c r="S39" s="12" t="str">
        <f t="shared" si="0"/>
        <v>B</v>
      </c>
      <c r="T39" s="6">
        <v>6.1999999999999998E-3</v>
      </c>
      <c r="U39" s="14">
        <f t="shared" si="1"/>
        <v>4</v>
      </c>
      <c r="V39" s="15">
        <f t="shared" si="2"/>
        <v>630972</v>
      </c>
      <c r="W39" s="14" t="str">
        <f t="shared" si="3"/>
        <v>MEDIO</v>
      </c>
    </row>
    <row r="40" spans="1:23" x14ac:dyDescent="0.25">
      <c r="A40" s="3">
        <f t="shared" si="4"/>
        <v>39</v>
      </c>
      <c r="B40" s="3" t="s">
        <v>95</v>
      </c>
      <c r="C40" s="3" t="s">
        <v>96</v>
      </c>
      <c r="D40" s="3" t="s">
        <v>20</v>
      </c>
      <c r="E40" s="3">
        <v>0</v>
      </c>
      <c r="F40" s="3">
        <v>0</v>
      </c>
      <c r="G40" s="5">
        <v>45630</v>
      </c>
      <c r="H40" s="4">
        <v>0</v>
      </c>
      <c r="I40" s="5">
        <v>185401</v>
      </c>
      <c r="J40" s="5">
        <v>71730</v>
      </c>
      <c r="K40" s="5">
        <v>156000</v>
      </c>
      <c r="L40" s="5">
        <v>133092</v>
      </c>
      <c r="M40" s="5">
        <v>312083</v>
      </c>
      <c r="N40" s="5">
        <v>335115</v>
      </c>
      <c r="O40" s="5">
        <v>78810</v>
      </c>
      <c r="P40" s="5">
        <v>282604</v>
      </c>
      <c r="Q40" s="5">
        <v>1600465</v>
      </c>
      <c r="R40" s="11">
        <f>SUM($Q$2:Q40)/SUM($Q:$Q)</f>
        <v>0.91574018630964404</v>
      </c>
      <c r="S40" s="12" t="str">
        <f t="shared" si="0"/>
        <v>B</v>
      </c>
      <c r="T40" s="6">
        <v>6.1000000000000004E-3</v>
      </c>
      <c r="U40" s="14">
        <f t="shared" si="1"/>
        <v>9</v>
      </c>
      <c r="V40" s="15">
        <f t="shared" si="2"/>
        <v>696529</v>
      </c>
      <c r="W40" s="14" t="str">
        <f t="shared" si="3"/>
        <v>BAJO</v>
      </c>
    </row>
    <row r="41" spans="1:23" x14ac:dyDescent="0.25">
      <c r="A41" s="3">
        <f t="shared" si="4"/>
        <v>40</v>
      </c>
      <c r="B41" s="3" t="s">
        <v>97</v>
      </c>
      <c r="C41" s="3" t="s">
        <v>98</v>
      </c>
      <c r="D41" s="3" t="s">
        <v>20</v>
      </c>
      <c r="E41" s="3">
        <v>0</v>
      </c>
      <c r="F41" s="3">
        <v>0</v>
      </c>
      <c r="G41" s="5">
        <v>68994</v>
      </c>
      <c r="H41" s="5">
        <v>264858</v>
      </c>
      <c r="I41" s="5">
        <v>155808</v>
      </c>
      <c r="J41" s="5">
        <v>267658</v>
      </c>
      <c r="K41" s="5">
        <v>169939</v>
      </c>
      <c r="L41" s="5">
        <v>77463</v>
      </c>
      <c r="M41" s="5">
        <v>251474</v>
      </c>
      <c r="N41" s="5">
        <v>103743</v>
      </c>
      <c r="O41" s="5">
        <v>210555</v>
      </c>
      <c r="P41" s="4">
        <v>0</v>
      </c>
      <c r="Q41" s="5">
        <v>1570492</v>
      </c>
      <c r="R41" s="11">
        <f>SUM($Q$2:Q41)/SUM($Q:$Q)</f>
        <v>0.9217168612815273</v>
      </c>
      <c r="S41" s="12" t="str">
        <f t="shared" si="0"/>
        <v>B</v>
      </c>
      <c r="T41" s="6">
        <v>6.0000000000000001E-3</v>
      </c>
      <c r="U41" s="14">
        <f t="shared" si="1"/>
        <v>9</v>
      </c>
      <c r="V41" s="15">
        <f t="shared" si="2"/>
        <v>314298</v>
      </c>
      <c r="W41" s="14" t="str">
        <f t="shared" si="3"/>
        <v>BAJO</v>
      </c>
    </row>
    <row r="42" spans="1:23" x14ac:dyDescent="0.25">
      <c r="A42" s="3">
        <f t="shared" si="4"/>
        <v>41</v>
      </c>
      <c r="B42" s="3" t="s">
        <v>99</v>
      </c>
      <c r="C42" s="3" t="s">
        <v>100</v>
      </c>
      <c r="D42" s="3" t="s">
        <v>20</v>
      </c>
      <c r="E42" s="3">
        <v>0</v>
      </c>
      <c r="F42" s="3">
        <v>0</v>
      </c>
      <c r="G42" s="4">
        <v>0</v>
      </c>
      <c r="H42" s="4">
        <v>0</v>
      </c>
      <c r="I42" s="5">
        <v>389870</v>
      </c>
      <c r="J42" s="4">
        <v>0</v>
      </c>
      <c r="K42" s="5">
        <v>431190</v>
      </c>
      <c r="L42" s="5">
        <v>150340</v>
      </c>
      <c r="M42" s="5">
        <v>104660</v>
      </c>
      <c r="N42" s="5">
        <v>242970</v>
      </c>
      <c r="O42" s="5">
        <v>31250</v>
      </c>
      <c r="P42" s="5">
        <v>212340</v>
      </c>
      <c r="Q42" s="5">
        <v>1562620</v>
      </c>
      <c r="R42" s="11">
        <f>SUM($Q$2:Q42)/SUM($Q:$Q)</f>
        <v>0.9276635785169951</v>
      </c>
      <c r="S42" s="12" t="str">
        <f t="shared" si="0"/>
        <v>B</v>
      </c>
      <c r="T42" s="6">
        <v>5.8999999999999999E-3</v>
      </c>
      <c r="U42" s="14">
        <f t="shared" si="1"/>
        <v>7</v>
      </c>
      <c r="V42" s="15">
        <f t="shared" si="2"/>
        <v>486560</v>
      </c>
      <c r="W42" s="14" t="str">
        <f t="shared" si="3"/>
        <v>MEDIO</v>
      </c>
    </row>
    <row r="43" spans="1:23" x14ac:dyDescent="0.25">
      <c r="A43" s="3">
        <f t="shared" si="4"/>
        <v>42</v>
      </c>
      <c r="B43" s="3" t="s">
        <v>101</v>
      </c>
      <c r="C43" s="3" t="s">
        <v>102</v>
      </c>
      <c r="D43" s="3" t="s">
        <v>20</v>
      </c>
      <c r="E43" s="3">
        <v>0</v>
      </c>
      <c r="F43" s="3">
        <v>0</v>
      </c>
      <c r="G43" s="4">
        <v>0</v>
      </c>
      <c r="H43" s="5">
        <v>381789</v>
      </c>
      <c r="I43" s="5">
        <v>88695</v>
      </c>
      <c r="J43" s="5">
        <v>431586</v>
      </c>
      <c r="K43" s="5">
        <v>194382</v>
      </c>
      <c r="L43" s="4">
        <v>0</v>
      </c>
      <c r="M43" s="5">
        <v>415917</v>
      </c>
      <c r="N43" s="5">
        <v>39582</v>
      </c>
      <c r="O43" s="4">
        <v>0</v>
      </c>
      <c r="P43" s="4">
        <v>0</v>
      </c>
      <c r="Q43" s="5">
        <v>1551951</v>
      </c>
      <c r="R43" s="11">
        <f>SUM($Q$2:Q43)/SUM($Q:$Q)</f>
        <v>0.9335696937339395</v>
      </c>
      <c r="S43" s="12" t="str">
        <f t="shared" si="0"/>
        <v>B</v>
      </c>
      <c r="T43" s="6">
        <v>5.8999999999999999E-3</v>
      </c>
      <c r="U43" s="14">
        <f t="shared" si="1"/>
        <v>6</v>
      </c>
      <c r="V43" s="15">
        <f t="shared" si="2"/>
        <v>39582</v>
      </c>
      <c r="W43" s="14" t="str">
        <f t="shared" si="3"/>
        <v>MEDIO</v>
      </c>
    </row>
    <row r="44" spans="1:23" x14ac:dyDescent="0.25">
      <c r="A44" s="3">
        <f t="shared" si="4"/>
        <v>43</v>
      </c>
      <c r="B44" s="3" t="s">
        <v>103</v>
      </c>
      <c r="C44" s="3" t="s">
        <v>104</v>
      </c>
      <c r="D44" s="3" t="s">
        <v>20</v>
      </c>
      <c r="E44" s="3">
        <v>0</v>
      </c>
      <c r="F44" s="3">
        <v>0</v>
      </c>
      <c r="G44" s="5">
        <v>115206</v>
      </c>
      <c r="H44" s="5">
        <v>193938</v>
      </c>
      <c r="I44" s="5">
        <v>81096</v>
      </c>
      <c r="J44" s="5">
        <v>181755</v>
      </c>
      <c r="K44" s="5">
        <v>120816</v>
      </c>
      <c r="L44" s="5">
        <v>349404</v>
      </c>
      <c r="M44" s="5">
        <v>374535</v>
      </c>
      <c r="N44" s="4">
        <v>0</v>
      </c>
      <c r="O44" s="7">
        <v>-12591</v>
      </c>
      <c r="P44" s="4">
        <v>0</v>
      </c>
      <c r="Q44" s="5">
        <v>1404159</v>
      </c>
      <c r="R44" s="11">
        <f>SUM($Q$2:Q44)/SUM($Q:$Q)</f>
        <v>0.93891337071659497</v>
      </c>
      <c r="S44" s="12" t="str">
        <f t="shared" si="0"/>
        <v>B</v>
      </c>
      <c r="T44" s="6">
        <v>5.3E-3</v>
      </c>
      <c r="U44" s="14">
        <f t="shared" si="1"/>
        <v>7</v>
      </c>
      <c r="V44" s="15">
        <f t="shared" si="2"/>
        <v>-12591</v>
      </c>
      <c r="W44" s="14" t="str">
        <f t="shared" si="3"/>
        <v>BAJO</v>
      </c>
    </row>
    <row r="45" spans="1:23" x14ac:dyDescent="0.25">
      <c r="A45" s="3">
        <f t="shared" si="4"/>
        <v>44</v>
      </c>
      <c r="B45" s="3" t="s">
        <v>105</v>
      </c>
      <c r="C45" s="3" t="s">
        <v>106</v>
      </c>
      <c r="D45" s="3" t="s">
        <v>20</v>
      </c>
      <c r="E45" s="3">
        <v>0</v>
      </c>
      <c r="F45" s="3">
        <v>0</v>
      </c>
      <c r="G45" s="4">
        <v>0</v>
      </c>
      <c r="H45" s="4">
        <v>0</v>
      </c>
      <c r="I45" s="4">
        <v>0</v>
      </c>
      <c r="J45" s="4">
        <v>0</v>
      </c>
      <c r="K45" s="5">
        <v>341244</v>
      </c>
      <c r="L45" s="4">
        <v>0</v>
      </c>
      <c r="M45" s="4">
        <v>0</v>
      </c>
      <c r="N45" s="4">
        <v>0</v>
      </c>
      <c r="O45" s="5">
        <v>1041336</v>
      </c>
      <c r="P45" s="4">
        <v>0</v>
      </c>
      <c r="Q45" s="5">
        <v>1382580</v>
      </c>
      <c r="R45" s="11">
        <f>SUM($Q$2:Q45)/SUM($Q:$Q)</f>
        <v>0.94417492651097434</v>
      </c>
      <c r="S45" s="12" t="str">
        <f t="shared" si="0"/>
        <v>B</v>
      </c>
      <c r="T45" s="6">
        <v>5.3E-3</v>
      </c>
      <c r="U45" s="14">
        <f t="shared" si="1"/>
        <v>2</v>
      </c>
      <c r="V45" s="15">
        <f t="shared" si="2"/>
        <v>1041336</v>
      </c>
      <c r="W45" s="14" t="str">
        <f t="shared" si="3"/>
        <v>MEDIO</v>
      </c>
    </row>
    <row r="46" spans="1:23" ht="30" x14ac:dyDescent="0.25">
      <c r="A46" s="3">
        <f t="shared" si="4"/>
        <v>45</v>
      </c>
      <c r="B46" s="3" t="s">
        <v>107</v>
      </c>
      <c r="C46" s="3" t="s">
        <v>108</v>
      </c>
      <c r="D46" s="3" t="s">
        <v>20</v>
      </c>
      <c r="E46" s="3">
        <v>0</v>
      </c>
      <c r="F46" s="3">
        <v>0</v>
      </c>
      <c r="G46" s="4">
        <v>0</v>
      </c>
      <c r="H46" s="5">
        <v>548649</v>
      </c>
      <c r="I46" s="4">
        <v>0</v>
      </c>
      <c r="J46" s="4">
        <v>0</v>
      </c>
      <c r="K46" s="4">
        <v>0</v>
      </c>
      <c r="L46" s="4">
        <v>0</v>
      </c>
      <c r="M46" s="5">
        <v>346770</v>
      </c>
      <c r="N46" s="4">
        <v>0</v>
      </c>
      <c r="O46" s="4">
        <v>0</v>
      </c>
      <c r="P46" s="5">
        <v>391518</v>
      </c>
      <c r="Q46" s="5">
        <v>1286937</v>
      </c>
      <c r="R46" s="11">
        <f>SUM($Q$2:Q46)/SUM($Q:$Q)</f>
        <v>0.94907250265799747</v>
      </c>
      <c r="S46" s="12" t="str">
        <f t="shared" si="0"/>
        <v>B</v>
      </c>
      <c r="T46" s="6">
        <v>4.8999999999999998E-3</v>
      </c>
      <c r="U46" s="14">
        <f t="shared" si="1"/>
        <v>3</v>
      </c>
      <c r="V46" s="15">
        <f t="shared" si="2"/>
        <v>391518</v>
      </c>
      <c r="W46" s="14" t="str">
        <f t="shared" si="3"/>
        <v>MEDIO</v>
      </c>
    </row>
    <row r="47" spans="1:23" x14ac:dyDescent="0.25">
      <c r="A47" s="3">
        <f t="shared" si="4"/>
        <v>46</v>
      </c>
      <c r="B47" s="3" t="s">
        <v>109</v>
      </c>
      <c r="C47" s="3" t="s">
        <v>110</v>
      </c>
      <c r="D47" s="3" t="s">
        <v>20</v>
      </c>
      <c r="E47" s="3">
        <v>0</v>
      </c>
      <c r="F47" s="3">
        <v>0</v>
      </c>
      <c r="G47" s="4">
        <v>0</v>
      </c>
      <c r="H47" s="4">
        <v>0</v>
      </c>
      <c r="I47" s="4">
        <v>0</v>
      </c>
      <c r="J47" s="4">
        <v>0</v>
      </c>
      <c r="K47" s="5">
        <v>269350</v>
      </c>
      <c r="L47" s="5">
        <v>324570</v>
      </c>
      <c r="M47" s="4">
        <v>0</v>
      </c>
      <c r="N47" s="5">
        <v>323100</v>
      </c>
      <c r="O47" s="5">
        <v>102410</v>
      </c>
      <c r="P47" s="5">
        <v>115210</v>
      </c>
      <c r="Q47" s="5">
        <v>1134640</v>
      </c>
      <c r="R47" s="11">
        <f>SUM($Q$2:Q47)/SUM($Q:$Q)</f>
        <v>0.95339049631227757</v>
      </c>
      <c r="S47" s="12" t="str">
        <f t="shared" si="0"/>
        <v>C</v>
      </c>
      <c r="T47" s="6">
        <v>4.3E-3</v>
      </c>
      <c r="U47" s="14">
        <f t="shared" si="1"/>
        <v>5</v>
      </c>
      <c r="V47" s="15">
        <f t="shared" si="2"/>
        <v>540720</v>
      </c>
      <c r="W47" s="14" t="str">
        <f t="shared" si="3"/>
        <v>MEDIO</v>
      </c>
    </row>
    <row r="48" spans="1:23" x14ac:dyDescent="0.25">
      <c r="A48" s="3">
        <f t="shared" si="4"/>
        <v>47</v>
      </c>
      <c r="B48" s="3" t="s">
        <v>111</v>
      </c>
      <c r="C48" s="3" t="s">
        <v>112</v>
      </c>
      <c r="D48" s="3" t="s">
        <v>20</v>
      </c>
      <c r="E48" s="3">
        <v>0</v>
      </c>
      <c r="F48" s="3">
        <v>0</v>
      </c>
      <c r="G48" s="5">
        <v>79280</v>
      </c>
      <c r="H48" s="5">
        <v>72370</v>
      </c>
      <c r="I48" s="5">
        <v>158680</v>
      </c>
      <c r="J48" s="5">
        <v>38160</v>
      </c>
      <c r="K48" s="5">
        <v>128960</v>
      </c>
      <c r="L48" s="5">
        <v>32560</v>
      </c>
      <c r="M48" s="5">
        <v>130590</v>
      </c>
      <c r="N48" s="5">
        <v>182830</v>
      </c>
      <c r="O48" s="5">
        <v>184750</v>
      </c>
      <c r="P48" s="8">
        <v>86770</v>
      </c>
      <c r="Q48" s="5">
        <v>1094950</v>
      </c>
      <c r="R48" s="11">
        <f>SUM($Q$2:Q48)/SUM($Q:$Q)</f>
        <v>0.95755744543424937</v>
      </c>
      <c r="S48" s="12" t="str">
        <f t="shared" si="0"/>
        <v>C</v>
      </c>
      <c r="T48" s="6">
        <v>4.1999999999999997E-3</v>
      </c>
      <c r="U48" s="14">
        <f t="shared" si="1"/>
        <v>10</v>
      </c>
      <c r="V48" s="15">
        <f t="shared" si="2"/>
        <v>454350</v>
      </c>
      <c r="W48" s="14" t="str">
        <f t="shared" si="3"/>
        <v>BAJO</v>
      </c>
    </row>
    <row r="49" spans="1:23" x14ac:dyDescent="0.25">
      <c r="A49" s="3">
        <f t="shared" si="4"/>
        <v>48</v>
      </c>
      <c r="B49" s="3" t="s">
        <v>113</v>
      </c>
      <c r="C49" s="3" t="s">
        <v>114</v>
      </c>
      <c r="D49" s="3" t="s">
        <v>20</v>
      </c>
      <c r="E49" s="3">
        <v>0</v>
      </c>
      <c r="F49" s="3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5">
        <v>192160</v>
      </c>
      <c r="O49" s="5">
        <v>471620</v>
      </c>
      <c r="P49" s="5">
        <v>343650</v>
      </c>
      <c r="Q49" s="5">
        <v>1007430</v>
      </c>
      <c r="R49" s="11">
        <f>SUM($Q$2:Q49)/SUM($Q:$Q)</f>
        <v>0.96139132785257708</v>
      </c>
      <c r="S49" s="12" t="str">
        <f t="shared" si="0"/>
        <v>C</v>
      </c>
      <c r="T49" s="6">
        <v>3.8E-3</v>
      </c>
      <c r="U49" s="14">
        <f t="shared" si="1"/>
        <v>3</v>
      </c>
      <c r="V49" s="15">
        <f t="shared" si="2"/>
        <v>1007430</v>
      </c>
      <c r="W49" s="14" t="str">
        <f t="shared" si="3"/>
        <v>MEDIO</v>
      </c>
    </row>
    <row r="50" spans="1:23" x14ac:dyDescent="0.25">
      <c r="A50" s="3">
        <f t="shared" si="4"/>
        <v>49</v>
      </c>
      <c r="B50" s="3" t="s">
        <v>115</v>
      </c>
      <c r="C50" s="3" t="s">
        <v>116</v>
      </c>
      <c r="D50" s="3" t="s">
        <v>20</v>
      </c>
      <c r="E50" s="3">
        <v>0</v>
      </c>
      <c r="F50" s="3">
        <v>0</v>
      </c>
      <c r="G50" s="4">
        <v>0</v>
      </c>
      <c r="H50" s="4">
        <v>0</v>
      </c>
      <c r="I50" s="5">
        <v>121990</v>
      </c>
      <c r="J50" s="5">
        <v>121990</v>
      </c>
      <c r="K50" s="5">
        <v>211360</v>
      </c>
      <c r="L50" s="5">
        <v>150580</v>
      </c>
      <c r="M50" s="4">
        <v>0</v>
      </c>
      <c r="N50" s="5">
        <v>265780</v>
      </c>
      <c r="O50" s="5">
        <v>45980</v>
      </c>
      <c r="P50" s="4">
        <v>0</v>
      </c>
      <c r="Q50" s="5">
        <v>917680</v>
      </c>
      <c r="R50" s="11">
        <f>SUM($Q$2:Q50)/SUM($Q:$Q)</f>
        <v>0.96488365706418588</v>
      </c>
      <c r="S50" s="12" t="str">
        <f t="shared" si="0"/>
        <v>C</v>
      </c>
      <c r="T50" s="6">
        <v>3.5000000000000001E-3</v>
      </c>
      <c r="U50" s="14">
        <f t="shared" si="1"/>
        <v>6</v>
      </c>
      <c r="V50" s="15">
        <f t="shared" si="2"/>
        <v>311760</v>
      </c>
      <c r="W50" s="14" t="str">
        <f t="shared" si="3"/>
        <v>MEDIO</v>
      </c>
    </row>
    <row r="51" spans="1:23" x14ac:dyDescent="0.25">
      <c r="A51" s="3">
        <f t="shared" si="4"/>
        <v>50</v>
      </c>
      <c r="B51" s="3" t="s">
        <v>117</v>
      </c>
      <c r="C51" s="3" t="s">
        <v>118</v>
      </c>
      <c r="D51" s="3" t="s">
        <v>20</v>
      </c>
      <c r="E51" s="3">
        <v>0</v>
      </c>
      <c r="F51" s="3">
        <v>0</v>
      </c>
      <c r="G51" s="5">
        <v>45480</v>
      </c>
      <c r="H51" s="4">
        <v>0</v>
      </c>
      <c r="I51" s="5">
        <v>66240</v>
      </c>
      <c r="J51" s="5">
        <v>317470</v>
      </c>
      <c r="K51" s="5">
        <v>298090</v>
      </c>
      <c r="L51" s="4">
        <v>0</v>
      </c>
      <c r="M51" s="4">
        <v>0</v>
      </c>
      <c r="N51" s="5">
        <v>59970</v>
      </c>
      <c r="O51" s="5">
        <v>74650</v>
      </c>
      <c r="P51" s="8">
        <v>53990</v>
      </c>
      <c r="Q51" s="5">
        <v>915890</v>
      </c>
      <c r="R51" s="11">
        <f>SUM($Q$2:Q51)/SUM($Q:$Q)</f>
        <v>0.96836917423969404</v>
      </c>
      <c r="S51" s="12" t="str">
        <f t="shared" si="0"/>
        <v>C</v>
      </c>
      <c r="T51" s="6">
        <v>3.5000000000000001E-3</v>
      </c>
      <c r="U51" s="14">
        <f t="shared" si="1"/>
        <v>7</v>
      </c>
      <c r="V51" s="15">
        <f t="shared" si="2"/>
        <v>188610</v>
      </c>
      <c r="W51" s="14" t="str">
        <f t="shared" si="3"/>
        <v>MEDIO</v>
      </c>
    </row>
    <row r="52" spans="1:23" ht="30" x14ac:dyDescent="0.25">
      <c r="A52" s="3">
        <f t="shared" si="4"/>
        <v>51</v>
      </c>
      <c r="B52" s="3" t="s">
        <v>119</v>
      </c>
      <c r="C52" s="3" t="s">
        <v>120</v>
      </c>
      <c r="D52" s="3" t="s">
        <v>20</v>
      </c>
      <c r="E52" s="3">
        <v>0</v>
      </c>
      <c r="F52" s="3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5">
        <v>437650</v>
      </c>
      <c r="P52" s="5">
        <v>313320</v>
      </c>
      <c r="Q52" s="5">
        <v>750970</v>
      </c>
      <c r="R52" s="11">
        <f>SUM($Q$2:Q52)/SUM($Q:$Q)</f>
        <v>0.97122707074832659</v>
      </c>
      <c r="S52" s="12" t="str">
        <f t="shared" si="0"/>
        <v>C</v>
      </c>
      <c r="T52" s="6">
        <v>2.8999999999999998E-3</v>
      </c>
      <c r="U52" s="14">
        <f t="shared" si="1"/>
        <v>2</v>
      </c>
      <c r="V52" s="15">
        <f t="shared" si="2"/>
        <v>750970</v>
      </c>
      <c r="W52" s="14" t="str">
        <f t="shared" si="3"/>
        <v>MEDIO</v>
      </c>
    </row>
    <row r="53" spans="1:23" ht="30" x14ac:dyDescent="0.25">
      <c r="A53" s="3">
        <f t="shared" si="4"/>
        <v>52</v>
      </c>
      <c r="B53" s="3" t="s">
        <v>121</v>
      </c>
      <c r="C53" s="3" t="s">
        <v>122</v>
      </c>
      <c r="D53" s="3" t="s">
        <v>20</v>
      </c>
      <c r="E53" s="3">
        <v>0</v>
      </c>
      <c r="F53" s="3">
        <v>0</v>
      </c>
      <c r="G53" s="4">
        <v>0</v>
      </c>
      <c r="H53" s="5">
        <v>318100</v>
      </c>
      <c r="I53" s="5">
        <v>27980</v>
      </c>
      <c r="J53" s="4">
        <v>0</v>
      </c>
      <c r="K53" s="5">
        <v>15980</v>
      </c>
      <c r="L53" s="4">
        <v>0</v>
      </c>
      <c r="M53" s="5">
        <v>73300</v>
      </c>
      <c r="N53" s="5">
        <v>41330</v>
      </c>
      <c r="O53" s="5">
        <v>113240</v>
      </c>
      <c r="P53" s="5">
        <v>158970</v>
      </c>
      <c r="Q53" s="5">
        <v>748900</v>
      </c>
      <c r="R53" s="11">
        <f>SUM($Q$2:Q53)/SUM($Q:$Q)</f>
        <v>0.97407708965096562</v>
      </c>
      <c r="S53" s="12" t="str">
        <f t="shared" si="0"/>
        <v>C</v>
      </c>
      <c r="T53" s="6">
        <v>2.8E-3</v>
      </c>
      <c r="U53" s="14">
        <f t="shared" si="1"/>
        <v>7</v>
      </c>
      <c r="V53" s="15">
        <f t="shared" si="2"/>
        <v>313540</v>
      </c>
      <c r="W53" s="14" t="str">
        <f t="shared" si="3"/>
        <v>MEDIO</v>
      </c>
    </row>
    <row r="54" spans="1:23" x14ac:dyDescent="0.25">
      <c r="A54" s="3">
        <f t="shared" si="4"/>
        <v>53</v>
      </c>
      <c r="B54" s="3" t="s">
        <v>123</v>
      </c>
      <c r="C54" s="3" t="s">
        <v>124</v>
      </c>
      <c r="D54" s="3" t="s">
        <v>20</v>
      </c>
      <c r="E54" s="3">
        <v>0</v>
      </c>
      <c r="F54" s="3">
        <v>0</v>
      </c>
      <c r="G54" s="5">
        <v>122913</v>
      </c>
      <c r="H54" s="5">
        <v>45135</v>
      </c>
      <c r="I54" s="4">
        <v>0</v>
      </c>
      <c r="J54" s="4">
        <v>0</v>
      </c>
      <c r="K54" s="5">
        <v>72747</v>
      </c>
      <c r="L54" s="4">
        <v>0</v>
      </c>
      <c r="M54" s="5">
        <v>82449</v>
      </c>
      <c r="N54" s="5">
        <v>63945</v>
      </c>
      <c r="O54" s="5">
        <v>243504</v>
      </c>
      <c r="P54" s="8">
        <v>36396</v>
      </c>
      <c r="Q54" s="5">
        <v>667089</v>
      </c>
      <c r="R54" s="11">
        <f>SUM($Q$2:Q54)/SUM($Q:$Q)</f>
        <v>0.97661576805895411</v>
      </c>
      <c r="S54" s="12" t="str">
        <f t="shared" si="0"/>
        <v>C</v>
      </c>
      <c r="T54" s="6">
        <v>2.5000000000000001E-3</v>
      </c>
      <c r="U54" s="14">
        <f t="shared" si="1"/>
        <v>7</v>
      </c>
      <c r="V54" s="15">
        <f t="shared" si="2"/>
        <v>343845</v>
      </c>
      <c r="W54" s="14" t="str">
        <f t="shared" si="3"/>
        <v>MEDIO</v>
      </c>
    </row>
    <row r="55" spans="1:23" x14ac:dyDescent="0.25">
      <c r="A55" s="3">
        <f t="shared" si="4"/>
        <v>54</v>
      </c>
      <c r="B55" s="3" t="s">
        <v>125</v>
      </c>
      <c r="C55" s="3" t="s">
        <v>126</v>
      </c>
      <c r="D55" s="3" t="s">
        <v>20</v>
      </c>
      <c r="E55" s="3">
        <v>0</v>
      </c>
      <c r="F55" s="3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245370</v>
      </c>
      <c r="M55" s="5">
        <v>356990</v>
      </c>
      <c r="N55" s="4">
        <v>0</v>
      </c>
      <c r="O55" s="4">
        <v>0</v>
      </c>
      <c r="P55" s="8">
        <v>62100</v>
      </c>
      <c r="Q55" s="5">
        <v>664460</v>
      </c>
      <c r="R55" s="11">
        <f>SUM($Q$2:Q55)/SUM($Q:$Q)</f>
        <v>0.97914444152677027</v>
      </c>
      <c r="S55" s="12" t="str">
        <f t="shared" si="0"/>
        <v>C</v>
      </c>
      <c r="T55" s="6">
        <v>2.5000000000000001E-3</v>
      </c>
      <c r="U55" s="14">
        <f t="shared" si="1"/>
        <v>3</v>
      </c>
      <c r="V55" s="15">
        <f t="shared" si="2"/>
        <v>62100</v>
      </c>
      <c r="W55" s="14" t="str">
        <f t="shared" si="3"/>
        <v>MEDIO</v>
      </c>
    </row>
    <row r="56" spans="1:23" ht="30" x14ac:dyDescent="0.25">
      <c r="A56" s="3">
        <f t="shared" si="4"/>
        <v>55</v>
      </c>
      <c r="B56" s="3" t="s">
        <v>127</v>
      </c>
      <c r="C56" s="3" t="s">
        <v>128</v>
      </c>
      <c r="D56" s="3" t="s">
        <v>20</v>
      </c>
      <c r="E56" s="3">
        <v>0</v>
      </c>
      <c r="F56" s="3">
        <v>0</v>
      </c>
      <c r="G56" s="4">
        <v>0</v>
      </c>
      <c r="H56" s="4">
        <v>0</v>
      </c>
      <c r="I56" s="5">
        <v>596791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5">
        <v>596791</v>
      </c>
      <c r="R56" s="11">
        <f>SUM($Q$2:Q56)/SUM($Q:$Q)</f>
        <v>0.98141559339073725</v>
      </c>
      <c r="S56" s="12" t="str">
        <f t="shared" si="0"/>
        <v>C</v>
      </c>
      <c r="T56" s="6">
        <v>2.3E-3</v>
      </c>
      <c r="U56" s="14">
        <f t="shared" si="1"/>
        <v>1</v>
      </c>
      <c r="V56" s="15">
        <f t="shared" si="2"/>
        <v>0</v>
      </c>
      <c r="W56" s="14" t="str">
        <f t="shared" si="3"/>
        <v>ALTO</v>
      </c>
    </row>
    <row r="57" spans="1:23" x14ac:dyDescent="0.25">
      <c r="A57" s="3">
        <f t="shared" si="4"/>
        <v>56</v>
      </c>
      <c r="B57" s="3" t="s">
        <v>129</v>
      </c>
      <c r="C57" s="3" t="s">
        <v>130</v>
      </c>
      <c r="D57" s="3" t="s">
        <v>20</v>
      </c>
      <c r="E57" s="3">
        <v>0</v>
      </c>
      <c r="F57" s="3">
        <v>0</v>
      </c>
      <c r="G57" s="5">
        <v>95310</v>
      </c>
      <c r="H57" s="4">
        <v>0</v>
      </c>
      <c r="I57" s="5">
        <v>136060</v>
      </c>
      <c r="J57" s="4">
        <v>0</v>
      </c>
      <c r="K57" s="5">
        <v>25750</v>
      </c>
      <c r="L57" s="5">
        <v>29990</v>
      </c>
      <c r="M57" s="5">
        <v>84210</v>
      </c>
      <c r="N57" s="4">
        <v>0</v>
      </c>
      <c r="O57" s="5">
        <v>139510</v>
      </c>
      <c r="P57" s="4">
        <v>0</v>
      </c>
      <c r="Q57" s="5">
        <v>510830</v>
      </c>
      <c r="R57" s="11">
        <f>SUM($Q$2:Q57)/SUM($Q:$Q)</f>
        <v>0.98335961149199924</v>
      </c>
      <c r="S57" s="12" t="str">
        <f t="shared" si="0"/>
        <v>C</v>
      </c>
      <c r="T57" s="6">
        <v>1.9E-3</v>
      </c>
      <c r="U57" s="14">
        <f t="shared" si="1"/>
        <v>6</v>
      </c>
      <c r="V57" s="15">
        <f t="shared" si="2"/>
        <v>139510</v>
      </c>
      <c r="W57" s="14" t="str">
        <f t="shared" si="3"/>
        <v>MEDIO</v>
      </c>
    </row>
    <row r="58" spans="1:23" x14ac:dyDescent="0.25">
      <c r="A58" s="3">
        <f t="shared" si="4"/>
        <v>57</v>
      </c>
      <c r="B58" s="3" t="s">
        <v>131</v>
      </c>
      <c r="C58" s="3" t="s">
        <v>132</v>
      </c>
      <c r="D58" s="3" t="s">
        <v>20</v>
      </c>
      <c r="E58" s="3">
        <v>0</v>
      </c>
      <c r="F58" s="3">
        <v>0</v>
      </c>
      <c r="G58" s="4">
        <v>0</v>
      </c>
      <c r="H58" s="4">
        <v>0</v>
      </c>
      <c r="I58" s="4">
        <v>0</v>
      </c>
      <c r="J58" s="5">
        <v>246800</v>
      </c>
      <c r="K58" s="5">
        <v>56870</v>
      </c>
      <c r="L58" s="4">
        <v>0</v>
      </c>
      <c r="M58" s="5">
        <v>110440</v>
      </c>
      <c r="N58" s="4">
        <v>0</v>
      </c>
      <c r="O58" s="5">
        <v>61760</v>
      </c>
      <c r="P58" s="4">
        <v>0</v>
      </c>
      <c r="Q58" s="5">
        <v>475870</v>
      </c>
      <c r="R58" s="11">
        <f>SUM($Q$2:Q58)/SUM($Q:$Q)</f>
        <v>0.98517058558092818</v>
      </c>
      <c r="S58" s="12" t="str">
        <f t="shared" si="0"/>
        <v>C</v>
      </c>
      <c r="T58" s="6">
        <v>1.8E-3</v>
      </c>
      <c r="U58" s="14">
        <f t="shared" si="1"/>
        <v>4</v>
      </c>
      <c r="V58" s="15">
        <f t="shared" si="2"/>
        <v>61760</v>
      </c>
      <c r="W58" s="14" t="str">
        <f t="shared" si="3"/>
        <v>MEDIO</v>
      </c>
    </row>
    <row r="59" spans="1:23" x14ac:dyDescent="0.25">
      <c r="A59" s="3">
        <f t="shared" si="4"/>
        <v>58</v>
      </c>
      <c r="B59" s="3" t="s">
        <v>133</v>
      </c>
      <c r="C59" s="3" t="s">
        <v>134</v>
      </c>
      <c r="D59" s="3" t="s">
        <v>20</v>
      </c>
      <c r="E59" s="3">
        <v>0</v>
      </c>
      <c r="F59" s="3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5">
        <v>214860</v>
      </c>
      <c r="N59" s="4">
        <v>0</v>
      </c>
      <c r="O59" s="5">
        <v>169810</v>
      </c>
      <c r="P59" s="8">
        <v>77510</v>
      </c>
      <c r="Q59" s="5">
        <v>462180</v>
      </c>
      <c r="R59" s="11">
        <f>SUM($Q$2:Q59)/SUM($Q:$Q)</f>
        <v>0.98692946091331124</v>
      </c>
      <c r="S59" s="12" t="str">
        <f t="shared" si="0"/>
        <v>C</v>
      </c>
      <c r="T59" s="6">
        <v>1.8E-3</v>
      </c>
      <c r="U59" s="14">
        <f t="shared" si="1"/>
        <v>3</v>
      </c>
      <c r="V59" s="15">
        <f t="shared" si="2"/>
        <v>247320</v>
      </c>
      <c r="W59" s="14" t="str">
        <f t="shared" si="3"/>
        <v>MEDIO</v>
      </c>
    </row>
    <row r="60" spans="1:23" x14ac:dyDescent="0.25">
      <c r="A60" s="3">
        <f t="shared" si="4"/>
        <v>59</v>
      </c>
      <c r="B60" s="3" t="s">
        <v>135</v>
      </c>
      <c r="C60" s="3" t="s">
        <v>136</v>
      </c>
      <c r="D60" s="3" t="s">
        <v>20</v>
      </c>
      <c r="E60" s="3">
        <v>0</v>
      </c>
      <c r="F60" s="3">
        <v>0</v>
      </c>
      <c r="G60" s="5">
        <v>61320</v>
      </c>
      <c r="H60" s="4">
        <v>0</v>
      </c>
      <c r="I60" s="4">
        <v>0</v>
      </c>
      <c r="J60" s="5">
        <v>182600</v>
      </c>
      <c r="K60" s="5">
        <v>17980</v>
      </c>
      <c r="L60" s="4">
        <v>0</v>
      </c>
      <c r="M60" s="5">
        <v>151350</v>
      </c>
      <c r="N60" s="4">
        <v>0</v>
      </c>
      <c r="O60" s="4">
        <v>0</v>
      </c>
      <c r="P60" s="4">
        <v>0</v>
      </c>
      <c r="Q60" s="5">
        <v>413250</v>
      </c>
      <c r="R60" s="11">
        <f>SUM($Q$2:Q60)/SUM($Q:$Q)</f>
        <v>0.98850212790692271</v>
      </c>
      <c r="S60" s="12" t="str">
        <f t="shared" si="0"/>
        <v>C</v>
      </c>
      <c r="T60" s="6">
        <v>1.6000000000000001E-3</v>
      </c>
      <c r="U60" s="14">
        <f t="shared" si="1"/>
        <v>4</v>
      </c>
      <c r="V60" s="15">
        <f t="shared" si="2"/>
        <v>0</v>
      </c>
      <c r="W60" s="14" t="str">
        <f t="shared" si="3"/>
        <v>BAJO</v>
      </c>
    </row>
    <row r="61" spans="1:23" x14ac:dyDescent="0.25">
      <c r="A61" s="3">
        <f t="shared" si="4"/>
        <v>60</v>
      </c>
      <c r="B61" s="3" t="s">
        <v>137</v>
      </c>
      <c r="C61" s="3" t="s">
        <v>138</v>
      </c>
      <c r="D61" s="3" t="s">
        <v>20</v>
      </c>
      <c r="E61" s="3">
        <v>0</v>
      </c>
      <c r="F61" s="3">
        <v>0</v>
      </c>
      <c r="G61" s="5">
        <v>243741</v>
      </c>
      <c r="H61" s="4">
        <v>0</v>
      </c>
      <c r="I61" s="5">
        <v>110502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5">
        <v>354243</v>
      </c>
      <c r="R61" s="11">
        <f>SUM($Q$2:Q61)/SUM($Q:$Q)</f>
        <v>0.98985023746244094</v>
      </c>
      <c r="S61" s="12" t="str">
        <f t="shared" si="0"/>
        <v>C</v>
      </c>
      <c r="T61" s="6">
        <v>1.2999999999999999E-3</v>
      </c>
      <c r="U61" s="14">
        <f t="shared" si="1"/>
        <v>2</v>
      </c>
      <c r="V61" s="15">
        <f t="shared" si="2"/>
        <v>0</v>
      </c>
      <c r="W61" s="14" t="str">
        <f t="shared" si="3"/>
        <v>ALTO</v>
      </c>
    </row>
    <row r="62" spans="1:23" ht="30" x14ac:dyDescent="0.25">
      <c r="A62" s="3">
        <f t="shared" si="4"/>
        <v>61</v>
      </c>
      <c r="B62" s="3" t="s">
        <v>139</v>
      </c>
      <c r="C62" s="3" t="s">
        <v>140</v>
      </c>
      <c r="D62" s="3" t="s">
        <v>20</v>
      </c>
      <c r="E62" s="3">
        <v>0</v>
      </c>
      <c r="F62" s="3">
        <v>0</v>
      </c>
      <c r="G62" s="4">
        <v>0</v>
      </c>
      <c r="H62" s="5">
        <v>119870</v>
      </c>
      <c r="I62" s="5">
        <v>232767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5">
        <v>352637</v>
      </c>
      <c r="R62" s="11">
        <f>SUM($Q$2:Q62)/SUM($Q:$Q)</f>
        <v>0.99119223521350242</v>
      </c>
      <c r="S62" s="12" t="str">
        <f t="shared" si="0"/>
        <v>D</v>
      </c>
      <c r="T62" s="6">
        <v>1.2999999999999999E-3</v>
      </c>
      <c r="U62" s="14">
        <f t="shared" si="1"/>
        <v>2</v>
      </c>
      <c r="V62" s="15">
        <f t="shared" si="2"/>
        <v>0</v>
      </c>
      <c r="W62" s="14" t="str">
        <f t="shared" si="3"/>
        <v>ALTO</v>
      </c>
    </row>
    <row r="63" spans="1:23" ht="30" x14ac:dyDescent="0.25">
      <c r="A63" s="3">
        <f t="shared" si="4"/>
        <v>62</v>
      </c>
      <c r="B63" s="3" t="s">
        <v>141</v>
      </c>
      <c r="C63" s="3" t="s">
        <v>142</v>
      </c>
      <c r="D63" s="3" t="s">
        <v>20</v>
      </c>
      <c r="E63" s="3">
        <v>0</v>
      </c>
      <c r="F63" s="3">
        <v>0</v>
      </c>
      <c r="G63" s="4">
        <v>0</v>
      </c>
      <c r="H63" s="4">
        <v>0</v>
      </c>
      <c r="I63" s="4">
        <v>0</v>
      </c>
      <c r="J63" s="4">
        <v>0</v>
      </c>
      <c r="K63" s="5">
        <v>238540</v>
      </c>
      <c r="L63" s="4">
        <v>0</v>
      </c>
      <c r="M63" s="4">
        <v>0</v>
      </c>
      <c r="N63" s="4">
        <v>0</v>
      </c>
      <c r="O63" s="4">
        <v>0</v>
      </c>
      <c r="P63" s="8">
        <v>61910</v>
      </c>
      <c r="Q63" s="5">
        <v>300450</v>
      </c>
      <c r="R63" s="11">
        <f>SUM($Q$2:Q63)/SUM($Q:$Q)</f>
        <v>0.99233562976457446</v>
      </c>
      <c r="S63" s="12" t="str">
        <f t="shared" si="0"/>
        <v>D</v>
      </c>
      <c r="T63" s="6">
        <v>1.1000000000000001E-3</v>
      </c>
      <c r="U63" s="14">
        <f t="shared" si="1"/>
        <v>2</v>
      </c>
      <c r="V63" s="15">
        <f t="shared" si="2"/>
        <v>61910</v>
      </c>
      <c r="W63" s="14" t="str">
        <f t="shared" si="3"/>
        <v>MEDIO</v>
      </c>
    </row>
    <row r="64" spans="1:23" x14ac:dyDescent="0.25">
      <c r="A64" s="3">
        <f t="shared" si="4"/>
        <v>63</v>
      </c>
      <c r="B64" s="3" t="s">
        <v>143</v>
      </c>
      <c r="C64" s="3" t="s">
        <v>144</v>
      </c>
      <c r="D64" s="3" t="s">
        <v>20</v>
      </c>
      <c r="E64" s="3">
        <v>0</v>
      </c>
      <c r="F64" s="3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5">
        <v>289575</v>
      </c>
      <c r="Q64" s="5">
        <v>289575</v>
      </c>
      <c r="R64" s="11">
        <f>SUM($Q$2:Q64)/SUM($Q:$Q)</f>
        <v>0.9934376383421305</v>
      </c>
      <c r="S64" s="12" t="str">
        <f t="shared" si="0"/>
        <v>D</v>
      </c>
      <c r="T64" s="6">
        <v>1.1000000000000001E-3</v>
      </c>
      <c r="U64" s="14">
        <f t="shared" si="1"/>
        <v>1</v>
      </c>
      <c r="V64" s="15">
        <f t="shared" si="2"/>
        <v>289575</v>
      </c>
      <c r="W64" s="14" t="str">
        <f t="shared" si="3"/>
        <v>MEDIO</v>
      </c>
    </row>
    <row r="65" spans="1:23" x14ac:dyDescent="0.25">
      <c r="A65" s="3">
        <f t="shared" si="4"/>
        <v>64</v>
      </c>
      <c r="B65" s="3" t="s">
        <v>145</v>
      </c>
      <c r="C65" s="3" t="s">
        <v>146</v>
      </c>
      <c r="D65" s="3" t="s">
        <v>20</v>
      </c>
      <c r="E65" s="3">
        <v>0</v>
      </c>
      <c r="F65" s="3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5">
        <v>240990</v>
      </c>
      <c r="Q65" s="5">
        <v>240990</v>
      </c>
      <c r="R65" s="11">
        <f>SUM($Q$2:Q65)/SUM($Q:$Q)</f>
        <v>0.99435475151524699</v>
      </c>
      <c r="S65" s="12" t="str">
        <f t="shared" si="0"/>
        <v>D</v>
      </c>
      <c r="T65" s="6">
        <v>8.9999999999999998E-4</v>
      </c>
      <c r="U65" s="14">
        <f t="shared" si="1"/>
        <v>1</v>
      </c>
      <c r="V65" s="15">
        <f t="shared" si="2"/>
        <v>240990</v>
      </c>
      <c r="W65" s="14" t="str">
        <f t="shared" si="3"/>
        <v>MEDIO</v>
      </c>
    </row>
    <row r="66" spans="1:23" x14ac:dyDescent="0.25">
      <c r="A66" s="3">
        <f t="shared" si="4"/>
        <v>65</v>
      </c>
      <c r="B66" s="3" t="s">
        <v>147</v>
      </c>
      <c r="C66" s="3" t="s">
        <v>148</v>
      </c>
      <c r="D66" s="3" t="s">
        <v>20</v>
      </c>
      <c r="E66" s="3">
        <v>0</v>
      </c>
      <c r="F66" s="3">
        <v>0</v>
      </c>
      <c r="G66" s="4">
        <v>0</v>
      </c>
      <c r="H66" s="4">
        <v>0</v>
      </c>
      <c r="I66" s="4">
        <v>0</v>
      </c>
      <c r="J66" s="5">
        <v>230580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5">
        <v>230580</v>
      </c>
      <c r="R66" s="11">
        <f>SUM($Q$2:Q66)/SUM($Q:$Q)</f>
        <v>0.99523224832199098</v>
      </c>
      <c r="S66" s="12" t="str">
        <f t="shared" ref="S66:S84" si="5">IF(R66&lt;=0.8,"A",IF(R66&lt;=0.95,"B",IF(R66&lt;=0.99,"C","D")))</f>
        <v>D</v>
      </c>
      <c r="T66" s="6">
        <v>8.9999999999999998E-4</v>
      </c>
      <c r="U66" s="14">
        <f t="shared" si="1"/>
        <v>1</v>
      </c>
      <c r="V66" s="15">
        <f t="shared" si="2"/>
        <v>0</v>
      </c>
      <c r="W66" s="14" t="str">
        <f t="shared" si="3"/>
        <v>ALTO</v>
      </c>
    </row>
    <row r="67" spans="1:23" x14ac:dyDescent="0.25">
      <c r="A67" s="3">
        <f t="shared" si="4"/>
        <v>66</v>
      </c>
      <c r="B67" s="3" t="s">
        <v>149</v>
      </c>
      <c r="C67" s="3" t="s">
        <v>150</v>
      </c>
      <c r="D67" s="3" t="s">
        <v>20</v>
      </c>
      <c r="E67" s="3">
        <v>0</v>
      </c>
      <c r="F67" s="3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96940</v>
      </c>
      <c r="M67" s="4">
        <v>0</v>
      </c>
      <c r="N67" s="4">
        <v>0</v>
      </c>
      <c r="O67" s="5">
        <v>110180</v>
      </c>
      <c r="P67" s="4">
        <v>0</v>
      </c>
      <c r="Q67" s="5">
        <v>207120</v>
      </c>
      <c r="R67" s="11">
        <f>SUM($Q$2:Q67)/SUM($Q:$Q)</f>
        <v>0.99602046559414292</v>
      </c>
      <c r="S67" s="12" t="str">
        <f t="shared" si="5"/>
        <v>D</v>
      </c>
      <c r="T67" s="6">
        <v>8.0000000000000004E-4</v>
      </c>
      <c r="U67" s="14">
        <f t="shared" ref="U67:U84" si="6">COUNTIF(E67:P67,"&gt;0")</f>
        <v>2</v>
      </c>
      <c r="V67" s="15">
        <f t="shared" ref="V67:V84" si="7">SUM(N67:P67)</f>
        <v>110180</v>
      </c>
      <c r="W67" s="14" t="str">
        <f t="shared" ref="W67:W84" si="8">IF(AND(U67&lt;=3,V67=0),"ALTO",
 IF(AND(U67&lt;=7,V67&gt;0),"MEDIO",
 "BAJO"))</f>
        <v>MEDIO</v>
      </c>
    </row>
    <row r="68" spans="1:23" x14ac:dyDescent="0.25">
      <c r="A68" s="3">
        <f t="shared" ref="A68:A84" si="9">A67+1</f>
        <v>67</v>
      </c>
      <c r="B68" s="3" t="s">
        <v>151</v>
      </c>
      <c r="C68" s="3" t="s">
        <v>152</v>
      </c>
      <c r="D68" s="3" t="s">
        <v>20</v>
      </c>
      <c r="E68" s="3">
        <v>0</v>
      </c>
      <c r="F68" s="3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5">
        <v>77980</v>
      </c>
      <c r="P68" s="5">
        <v>123350</v>
      </c>
      <c r="Q68" s="5">
        <v>201330</v>
      </c>
      <c r="R68" s="11">
        <f>SUM($Q$2:Q68)/SUM($Q:$Q)</f>
        <v>0.9967866484031539</v>
      </c>
      <c r="S68" s="12" t="str">
        <f t="shared" si="5"/>
        <v>D</v>
      </c>
      <c r="T68" s="6">
        <v>8.0000000000000004E-4</v>
      </c>
      <c r="U68" s="14">
        <f t="shared" si="6"/>
        <v>2</v>
      </c>
      <c r="V68" s="15">
        <f t="shared" si="7"/>
        <v>201330</v>
      </c>
      <c r="W68" s="14" t="str">
        <f t="shared" si="8"/>
        <v>MEDIO</v>
      </c>
    </row>
    <row r="69" spans="1:23" x14ac:dyDescent="0.25">
      <c r="A69" s="3">
        <f t="shared" si="9"/>
        <v>68</v>
      </c>
      <c r="B69" s="3" t="s">
        <v>153</v>
      </c>
      <c r="C69" s="3" t="s">
        <v>154</v>
      </c>
      <c r="D69" s="3" t="s">
        <v>20</v>
      </c>
      <c r="E69" s="3">
        <v>0</v>
      </c>
      <c r="F69" s="3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5">
        <v>23540</v>
      </c>
      <c r="N69" s="5">
        <v>353630</v>
      </c>
      <c r="O69" s="7">
        <v>-258950</v>
      </c>
      <c r="P69" s="8">
        <v>66090</v>
      </c>
      <c r="Q69" s="5">
        <v>184310</v>
      </c>
      <c r="R69" s="11">
        <f>SUM($Q$2:Q69)/SUM($Q:$Q)</f>
        <v>0.99748805978510802</v>
      </c>
      <c r="S69" s="12" t="str">
        <f t="shared" si="5"/>
        <v>D</v>
      </c>
      <c r="T69" s="6">
        <v>6.9999999999999999E-4</v>
      </c>
      <c r="U69" s="14">
        <f t="shared" si="6"/>
        <v>3</v>
      </c>
      <c r="V69" s="15">
        <f t="shared" si="7"/>
        <v>160770</v>
      </c>
      <c r="W69" s="14" t="str">
        <f t="shared" si="8"/>
        <v>MEDIO</v>
      </c>
    </row>
    <row r="70" spans="1:23" x14ac:dyDescent="0.25">
      <c r="A70" s="3">
        <f t="shared" si="9"/>
        <v>69</v>
      </c>
      <c r="B70" s="3" t="s">
        <v>155</v>
      </c>
      <c r="C70" s="3" t="s">
        <v>156</v>
      </c>
      <c r="D70" s="3" t="s">
        <v>20</v>
      </c>
      <c r="E70" s="3">
        <v>0</v>
      </c>
      <c r="F70" s="3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5">
        <v>137890</v>
      </c>
      <c r="Q70" s="5">
        <v>137890</v>
      </c>
      <c r="R70" s="11">
        <f>SUM($Q$2:Q70)/SUM($Q:$Q)</f>
        <v>0.99801281490125815</v>
      </c>
      <c r="S70" s="12" t="str">
        <f t="shared" si="5"/>
        <v>D</v>
      </c>
      <c r="T70" s="6">
        <v>5.0000000000000001E-4</v>
      </c>
      <c r="U70" s="14">
        <f t="shared" si="6"/>
        <v>1</v>
      </c>
      <c r="V70" s="15">
        <f t="shared" si="7"/>
        <v>137890</v>
      </c>
      <c r="W70" s="14" t="str">
        <f t="shared" si="8"/>
        <v>MEDIO</v>
      </c>
    </row>
    <row r="71" spans="1:23" x14ac:dyDescent="0.25">
      <c r="A71" s="3">
        <f t="shared" si="9"/>
        <v>70</v>
      </c>
      <c r="B71" s="3" t="s">
        <v>157</v>
      </c>
      <c r="C71" s="3" t="s">
        <v>158</v>
      </c>
      <c r="D71" s="3" t="s">
        <v>20</v>
      </c>
      <c r="E71" s="3">
        <v>0</v>
      </c>
      <c r="F71" s="3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119340</v>
      </c>
      <c r="M71" s="4">
        <v>0</v>
      </c>
      <c r="N71" s="4">
        <v>0</v>
      </c>
      <c r="O71" s="4">
        <v>0</v>
      </c>
      <c r="P71" s="4">
        <v>0</v>
      </c>
      <c r="Q71" s="5">
        <v>119340</v>
      </c>
      <c r="R71" s="11">
        <f>SUM($Q$2:Q71)/SUM($Q:$Q)</f>
        <v>0.99846697601200851</v>
      </c>
      <c r="S71" s="12" t="str">
        <f t="shared" si="5"/>
        <v>D</v>
      </c>
      <c r="T71" s="6">
        <v>5.0000000000000001E-4</v>
      </c>
      <c r="U71" s="14">
        <f t="shared" si="6"/>
        <v>1</v>
      </c>
      <c r="V71" s="15">
        <f t="shared" si="7"/>
        <v>0</v>
      </c>
      <c r="W71" s="14" t="str">
        <f t="shared" si="8"/>
        <v>ALTO</v>
      </c>
    </row>
    <row r="72" spans="1:23" x14ac:dyDescent="0.25">
      <c r="A72" s="3">
        <f t="shared" si="9"/>
        <v>71</v>
      </c>
      <c r="B72" s="3" t="s">
        <v>159</v>
      </c>
      <c r="C72" s="3" t="s">
        <v>160</v>
      </c>
      <c r="D72" s="3" t="s">
        <v>20</v>
      </c>
      <c r="E72" s="3">
        <v>0</v>
      </c>
      <c r="F72" s="3">
        <v>0</v>
      </c>
      <c r="G72" s="5">
        <v>24273</v>
      </c>
      <c r="H72" s="4">
        <v>0</v>
      </c>
      <c r="I72" s="5">
        <v>42990</v>
      </c>
      <c r="J72" s="4">
        <v>0</v>
      </c>
      <c r="K72" s="4">
        <v>0</v>
      </c>
      <c r="L72" s="4">
        <v>0</v>
      </c>
      <c r="M72" s="4">
        <v>0</v>
      </c>
      <c r="N72" s="5">
        <v>25065</v>
      </c>
      <c r="O72" s="5">
        <v>15291</v>
      </c>
      <c r="P72" s="4">
        <v>0</v>
      </c>
      <c r="Q72" s="5">
        <v>107619</v>
      </c>
      <c r="R72" s="11">
        <f>SUM($Q$2:Q72)/SUM($Q:$Q)</f>
        <v>0.99887653160592382</v>
      </c>
      <c r="S72" s="12" t="str">
        <f t="shared" si="5"/>
        <v>D</v>
      </c>
      <c r="T72" s="6">
        <v>4.0000000000000002E-4</v>
      </c>
      <c r="U72" s="14">
        <f t="shared" si="6"/>
        <v>4</v>
      </c>
      <c r="V72" s="15">
        <f t="shared" si="7"/>
        <v>40356</v>
      </c>
      <c r="W72" s="14" t="str">
        <f t="shared" si="8"/>
        <v>MEDIO</v>
      </c>
    </row>
    <row r="73" spans="1:23" x14ac:dyDescent="0.25">
      <c r="A73" s="3">
        <f t="shared" si="9"/>
        <v>72</v>
      </c>
      <c r="B73" s="3" t="s">
        <v>161</v>
      </c>
      <c r="C73" s="3" t="s">
        <v>162</v>
      </c>
      <c r="D73" s="3" t="s">
        <v>20</v>
      </c>
      <c r="E73" s="3">
        <v>0</v>
      </c>
      <c r="F73" s="3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40491</v>
      </c>
      <c r="M73" s="5">
        <v>31293</v>
      </c>
      <c r="N73" s="4">
        <v>0</v>
      </c>
      <c r="O73" s="5">
        <v>34650</v>
      </c>
      <c r="P73" s="4">
        <v>0</v>
      </c>
      <c r="Q73" s="5">
        <v>106434</v>
      </c>
      <c r="R73" s="11">
        <f>SUM($Q$2:Q73)/SUM($Q:$Q)</f>
        <v>0.99928157755582825</v>
      </c>
      <c r="S73" s="12" t="str">
        <f t="shared" si="5"/>
        <v>D</v>
      </c>
      <c r="T73" s="6">
        <v>4.0000000000000002E-4</v>
      </c>
      <c r="U73" s="14">
        <f t="shared" si="6"/>
        <v>3</v>
      </c>
      <c r="V73" s="15">
        <f t="shared" si="7"/>
        <v>34650</v>
      </c>
      <c r="W73" s="14" t="str">
        <f t="shared" si="8"/>
        <v>MEDIO</v>
      </c>
    </row>
    <row r="74" spans="1:23" x14ac:dyDescent="0.25">
      <c r="A74" s="3">
        <f t="shared" si="9"/>
        <v>73</v>
      </c>
      <c r="B74" s="3" t="s">
        <v>163</v>
      </c>
      <c r="C74" s="3" t="s">
        <v>164</v>
      </c>
      <c r="D74" s="3" t="s">
        <v>20</v>
      </c>
      <c r="E74" s="3">
        <v>0</v>
      </c>
      <c r="F74" s="3">
        <v>0</v>
      </c>
      <c r="G74" s="4">
        <v>0</v>
      </c>
      <c r="H74" s="4">
        <v>0</v>
      </c>
      <c r="I74" s="4">
        <v>0</v>
      </c>
      <c r="J74" s="5">
        <v>31980</v>
      </c>
      <c r="K74" s="4">
        <v>0</v>
      </c>
      <c r="L74" s="4">
        <v>0</v>
      </c>
      <c r="M74" s="4">
        <v>0</v>
      </c>
      <c r="N74" s="5">
        <v>20100</v>
      </c>
      <c r="O74" s="5">
        <v>44990</v>
      </c>
      <c r="P74" s="4">
        <v>0</v>
      </c>
      <c r="Q74" s="5">
        <v>97070</v>
      </c>
      <c r="R74" s="11">
        <f>SUM($Q$2:Q74)/SUM($Q:$Q)</f>
        <v>0.99965098780403117</v>
      </c>
      <c r="S74" s="12" t="str">
        <f t="shared" si="5"/>
        <v>D</v>
      </c>
      <c r="T74" s="6">
        <v>4.0000000000000002E-4</v>
      </c>
      <c r="U74" s="14">
        <f t="shared" si="6"/>
        <v>3</v>
      </c>
      <c r="V74" s="15">
        <f t="shared" si="7"/>
        <v>65090</v>
      </c>
      <c r="W74" s="14" t="str">
        <f t="shared" si="8"/>
        <v>MEDIO</v>
      </c>
    </row>
    <row r="75" spans="1:23" x14ac:dyDescent="0.25">
      <c r="A75" s="3">
        <f t="shared" si="9"/>
        <v>74</v>
      </c>
      <c r="B75" s="3" t="s">
        <v>165</v>
      </c>
      <c r="C75" s="3" t="s">
        <v>166</v>
      </c>
      <c r="D75" s="3" t="s">
        <v>20</v>
      </c>
      <c r="E75" s="3">
        <v>0</v>
      </c>
      <c r="F75" s="3">
        <v>0</v>
      </c>
      <c r="G75" s="4">
        <v>0</v>
      </c>
      <c r="H75" s="4">
        <v>0</v>
      </c>
      <c r="I75" s="4">
        <v>0</v>
      </c>
      <c r="J75" s="4">
        <v>0</v>
      </c>
      <c r="K75" s="5">
        <v>91710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5">
        <v>91710</v>
      </c>
      <c r="R75" s="11">
        <f>SUM($Q$2:Q75)/SUM($Q:$Q)</f>
        <v>1</v>
      </c>
      <c r="S75" s="12" t="str">
        <f t="shared" si="5"/>
        <v>D</v>
      </c>
      <c r="T75" s="6">
        <v>2.9999999999999997E-4</v>
      </c>
      <c r="U75" s="14">
        <f t="shared" si="6"/>
        <v>1</v>
      </c>
      <c r="V75" s="15">
        <f t="shared" si="7"/>
        <v>0</v>
      </c>
      <c r="W75" s="14" t="str">
        <f t="shared" si="8"/>
        <v>ALTO</v>
      </c>
    </row>
    <row r="76" spans="1:23" x14ac:dyDescent="0.25">
      <c r="A76" s="3">
        <f t="shared" si="9"/>
        <v>75</v>
      </c>
      <c r="B76" s="3" t="s">
        <v>167</v>
      </c>
      <c r="C76" s="3" t="s">
        <v>168</v>
      </c>
      <c r="D76" s="3" t="s">
        <v>20</v>
      </c>
      <c r="E76" s="3">
        <v>0</v>
      </c>
      <c r="F76" s="3">
        <v>0</v>
      </c>
      <c r="G76" s="4">
        <v>0</v>
      </c>
      <c r="H76" s="4">
        <v>0</v>
      </c>
      <c r="I76" s="4">
        <v>0</v>
      </c>
      <c r="J76" s="4">
        <v>0</v>
      </c>
      <c r="K76" s="7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5">
        <v>0</v>
      </c>
      <c r="R76" s="11">
        <f>SUM($Q$2:Q76)/SUM($Q:$Q)</f>
        <v>1</v>
      </c>
      <c r="S76" s="12" t="str">
        <f t="shared" si="5"/>
        <v>D</v>
      </c>
      <c r="T76" s="6">
        <v>0</v>
      </c>
      <c r="U76" s="14">
        <f t="shared" si="6"/>
        <v>0</v>
      </c>
      <c r="V76" s="15">
        <f t="shared" si="7"/>
        <v>0</v>
      </c>
      <c r="W76" s="14" t="str">
        <f t="shared" si="8"/>
        <v>ALTO</v>
      </c>
    </row>
    <row r="77" spans="1:23" x14ac:dyDescent="0.25">
      <c r="A77" s="3">
        <f t="shared" si="9"/>
        <v>76</v>
      </c>
      <c r="B77" s="3" t="s">
        <v>169</v>
      </c>
      <c r="C77" s="3" t="s">
        <v>170</v>
      </c>
      <c r="D77" s="3" t="s">
        <v>20</v>
      </c>
      <c r="E77" s="3">
        <v>0</v>
      </c>
      <c r="F77" s="3">
        <v>0</v>
      </c>
      <c r="G77" s="4">
        <v>0</v>
      </c>
      <c r="H77" s="4">
        <v>0</v>
      </c>
      <c r="I77" s="4">
        <v>0</v>
      </c>
      <c r="J77" s="4">
        <v>0</v>
      </c>
      <c r="K77" s="7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5">
        <v>0</v>
      </c>
      <c r="R77" s="11">
        <f>SUM($Q$2:Q77)/SUM($Q:$Q)</f>
        <v>1</v>
      </c>
      <c r="S77" s="12" t="str">
        <f t="shared" si="5"/>
        <v>D</v>
      </c>
      <c r="T77" s="6">
        <v>0</v>
      </c>
      <c r="U77" s="14">
        <f t="shared" si="6"/>
        <v>0</v>
      </c>
      <c r="V77" s="15">
        <f t="shared" si="7"/>
        <v>0</v>
      </c>
      <c r="W77" s="14" t="str">
        <f t="shared" si="8"/>
        <v>ALTO</v>
      </c>
    </row>
    <row r="78" spans="1:23" x14ac:dyDescent="0.25">
      <c r="A78" s="3">
        <f t="shared" si="9"/>
        <v>77</v>
      </c>
      <c r="B78" s="3" t="s">
        <v>171</v>
      </c>
      <c r="C78" s="3" t="s">
        <v>172</v>
      </c>
      <c r="D78" s="3" t="s">
        <v>20</v>
      </c>
      <c r="E78" s="3">
        <v>0</v>
      </c>
      <c r="F78" s="3">
        <v>0</v>
      </c>
      <c r="G78" s="4">
        <v>0</v>
      </c>
      <c r="H78" s="4">
        <v>0</v>
      </c>
      <c r="I78" s="4">
        <v>0</v>
      </c>
      <c r="J78" s="4">
        <v>0</v>
      </c>
      <c r="K78" s="7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5">
        <v>0</v>
      </c>
      <c r="R78" s="11">
        <f>SUM($Q$2:Q78)/SUM($Q:$Q)</f>
        <v>1</v>
      </c>
      <c r="S78" s="12" t="str">
        <f t="shared" si="5"/>
        <v>D</v>
      </c>
      <c r="T78" s="6">
        <v>0</v>
      </c>
      <c r="U78" s="14">
        <f t="shared" si="6"/>
        <v>0</v>
      </c>
      <c r="V78" s="15">
        <f t="shared" si="7"/>
        <v>0</v>
      </c>
      <c r="W78" s="14" t="str">
        <f t="shared" si="8"/>
        <v>ALTO</v>
      </c>
    </row>
    <row r="79" spans="1:23" x14ac:dyDescent="0.25">
      <c r="A79" s="3">
        <f t="shared" si="9"/>
        <v>78</v>
      </c>
      <c r="B79" s="3" t="s">
        <v>173</v>
      </c>
      <c r="C79" s="3" t="s">
        <v>174</v>
      </c>
      <c r="D79" s="3" t="s">
        <v>20</v>
      </c>
      <c r="E79" s="3">
        <v>0</v>
      </c>
      <c r="F79" s="3">
        <v>0</v>
      </c>
      <c r="G79" s="4">
        <v>0</v>
      </c>
      <c r="H79" s="4">
        <v>0</v>
      </c>
      <c r="I79" s="4">
        <v>0</v>
      </c>
      <c r="J79" s="4">
        <v>0</v>
      </c>
      <c r="K79" s="7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5">
        <v>0</v>
      </c>
      <c r="R79" s="11">
        <f>SUM($Q$2:Q79)/SUM($Q:$Q)</f>
        <v>1</v>
      </c>
      <c r="S79" s="12" t="str">
        <f t="shared" si="5"/>
        <v>D</v>
      </c>
      <c r="T79" s="6">
        <v>0</v>
      </c>
      <c r="U79" s="14">
        <f t="shared" si="6"/>
        <v>0</v>
      </c>
      <c r="V79" s="15">
        <f t="shared" si="7"/>
        <v>0</v>
      </c>
      <c r="W79" s="14" t="str">
        <f t="shared" si="8"/>
        <v>ALTO</v>
      </c>
    </row>
    <row r="80" spans="1:23" x14ac:dyDescent="0.25">
      <c r="A80" s="3">
        <f t="shared" si="9"/>
        <v>79</v>
      </c>
      <c r="B80" s="3" t="s">
        <v>175</v>
      </c>
      <c r="C80" s="3" t="s">
        <v>176</v>
      </c>
      <c r="D80" s="3" t="s">
        <v>20</v>
      </c>
      <c r="E80" s="3">
        <v>0</v>
      </c>
      <c r="F80" s="3">
        <v>0</v>
      </c>
      <c r="G80" s="4">
        <v>0</v>
      </c>
      <c r="H80" s="4">
        <v>0</v>
      </c>
      <c r="I80" s="4">
        <v>0</v>
      </c>
      <c r="J80" s="4">
        <v>0</v>
      </c>
      <c r="K80" s="7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5">
        <v>0</v>
      </c>
      <c r="R80" s="11">
        <f>SUM($Q$2:Q80)/SUM($Q:$Q)</f>
        <v>1</v>
      </c>
      <c r="S80" s="12" t="str">
        <f t="shared" si="5"/>
        <v>D</v>
      </c>
      <c r="T80" s="6">
        <v>0</v>
      </c>
      <c r="U80" s="14">
        <f t="shared" si="6"/>
        <v>0</v>
      </c>
      <c r="V80" s="15">
        <f t="shared" si="7"/>
        <v>0</v>
      </c>
      <c r="W80" s="14" t="str">
        <f t="shared" si="8"/>
        <v>ALTO</v>
      </c>
    </row>
    <row r="81" spans="1:23" x14ac:dyDescent="0.25">
      <c r="A81" s="3">
        <f t="shared" si="9"/>
        <v>80</v>
      </c>
      <c r="B81" s="3" t="s">
        <v>177</v>
      </c>
      <c r="C81" s="3" t="s">
        <v>178</v>
      </c>
      <c r="D81" s="3" t="s">
        <v>20</v>
      </c>
      <c r="E81" s="3">
        <v>0</v>
      </c>
      <c r="F81" s="3">
        <v>0</v>
      </c>
      <c r="G81" s="4">
        <v>0</v>
      </c>
      <c r="H81" s="4">
        <v>0</v>
      </c>
      <c r="I81" s="4">
        <v>0</v>
      </c>
      <c r="J81" s="4">
        <v>0</v>
      </c>
      <c r="K81" s="7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5">
        <v>0</v>
      </c>
      <c r="R81" s="11">
        <f>SUM($Q$2:Q81)/SUM($Q:$Q)</f>
        <v>1</v>
      </c>
      <c r="S81" s="12" t="str">
        <f t="shared" si="5"/>
        <v>D</v>
      </c>
      <c r="T81" s="6">
        <v>0</v>
      </c>
      <c r="U81" s="14">
        <f t="shared" si="6"/>
        <v>0</v>
      </c>
      <c r="V81" s="15">
        <f t="shared" si="7"/>
        <v>0</v>
      </c>
      <c r="W81" s="14" t="str">
        <f t="shared" si="8"/>
        <v>ALTO</v>
      </c>
    </row>
    <row r="82" spans="1:23" x14ac:dyDescent="0.25">
      <c r="A82" s="3">
        <f t="shared" si="9"/>
        <v>81</v>
      </c>
      <c r="B82" s="3" t="s">
        <v>179</v>
      </c>
      <c r="C82" s="3" t="s">
        <v>180</v>
      </c>
      <c r="D82" s="3" t="s">
        <v>20</v>
      </c>
      <c r="E82" s="3">
        <v>0</v>
      </c>
      <c r="F82" s="3">
        <v>0</v>
      </c>
      <c r="G82" s="4">
        <v>0</v>
      </c>
      <c r="H82" s="4">
        <v>0</v>
      </c>
      <c r="I82" s="4">
        <v>0</v>
      </c>
      <c r="J82" s="4">
        <v>0</v>
      </c>
      <c r="K82" s="7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5">
        <v>0</v>
      </c>
      <c r="R82" s="11">
        <f>SUM($Q$2:Q82)/SUM($Q:$Q)</f>
        <v>1</v>
      </c>
      <c r="S82" s="12" t="str">
        <f t="shared" si="5"/>
        <v>D</v>
      </c>
      <c r="T82" s="6">
        <v>0</v>
      </c>
      <c r="U82" s="14">
        <f t="shared" si="6"/>
        <v>0</v>
      </c>
      <c r="V82" s="15">
        <f t="shared" si="7"/>
        <v>0</v>
      </c>
      <c r="W82" s="14" t="str">
        <f t="shared" si="8"/>
        <v>ALTO</v>
      </c>
    </row>
    <row r="83" spans="1:23" ht="30" x14ac:dyDescent="0.25">
      <c r="A83" s="3">
        <f t="shared" si="9"/>
        <v>82</v>
      </c>
      <c r="B83" s="3" t="s">
        <v>181</v>
      </c>
      <c r="C83" s="3" t="s">
        <v>182</v>
      </c>
      <c r="D83" s="3" t="s">
        <v>20</v>
      </c>
      <c r="E83" s="3">
        <v>0</v>
      </c>
      <c r="F83" s="3">
        <v>0</v>
      </c>
      <c r="G83" s="4">
        <v>0</v>
      </c>
      <c r="H83" s="4">
        <v>0</v>
      </c>
      <c r="I83" s="4">
        <v>0</v>
      </c>
      <c r="J83" s="4">
        <v>0</v>
      </c>
      <c r="K83" s="7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5">
        <v>0</v>
      </c>
      <c r="R83" s="11">
        <f>SUM($Q$2:Q83)/SUM($Q:$Q)</f>
        <v>1</v>
      </c>
      <c r="S83" s="12" t="str">
        <f t="shared" si="5"/>
        <v>D</v>
      </c>
      <c r="T83" s="6">
        <v>0</v>
      </c>
      <c r="U83" s="14">
        <f t="shared" si="6"/>
        <v>0</v>
      </c>
      <c r="V83" s="15">
        <f t="shared" si="7"/>
        <v>0</v>
      </c>
      <c r="W83" s="14" t="str">
        <f t="shared" si="8"/>
        <v>ALTO</v>
      </c>
    </row>
    <row r="84" spans="1:23" ht="30" x14ac:dyDescent="0.25">
      <c r="A84" s="3">
        <f t="shared" si="9"/>
        <v>83</v>
      </c>
      <c r="B84" s="3" t="s">
        <v>183</v>
      </c>
      <c r="C84" s="3" t="s">
        <v>184</v>
      </c>
      <c r="D84" s="3" t="s">
        <v>20</v>
      </c>
      <c r="E84" s="3">
        <v>0</v>
      </c>
      <c r="F84" s="3">
        <v>0</v>
      </c>
      <c r="G84" s="4">
        <v>0</v>
      </c>
      <c r="H84" s="4">
        <v>0</v>
      </c>
      <c r="I84" s="4">
        <v>0</v>
      </c>
      <c r="J84" s="4">
        <v>0</v>
      </c>
      <c r="K84" s="7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5">
        <v>0</v>
      </c>
      <c r="R84" s="11">
        <f>SUM($Q$2:Q84)/SUM($Q:$Q)</f>
        <v>1</v>
      </c>
      <c r="S84" s="12" t="str">
        <f t="shared" si="5"/>
        <v>D</v>
      </c>
      <c r="T84" s="6">
        <v>0</v>
      </c>
      <c r="U84" s="14">
        <f t="shared" si="6"/>
        <v>0</v>
      </c>
      <c r="V84" s="15">
        <f t="shared" si="7"/>
        <v>0</v>
      </c>
      <c r="W84" s="14" t="str">
        <f t="shared" si="8"/>
        <v>ALTO</v>
      </c>
    </row>
  </sheetData>
  <autoFilter ref="A1:T84"/>
  <conditionalFormatting sqref="B1:B1048576">
    <cfRule type="duplicateValues" dxfId="21" priority="8"/>
  </conditionalFormatting>
  <conditionalFormatting sqref="W2:W84">
    <cfRule type="containsText" dxfId="20" priority="7" operator="containsText" text="bajo">
      <formula>NOT(ISERROR(SEARCH("bajo",W2)))</formula>
    </cfRule>
  </conditionalFormatting>
  <conditionalFormatting sqref="W19:W84">
    <cfRule type="containsText" dxfId="19" priority="6" operator="containsText" text="medio">
      <formula>NOT(ISERROR(SEARCH("medio",W19)))</formula>
    </cfRule>
  </conditionalFormatting>
  <conditionalFormatting sqref="W31:W84">
    <cfRule type="containsText" dxfId="18" priority="5" operator="containsText" text="alto">
      <formula>NOT(ISERROR(SEARCH("alto",W31)))</formula>
    </cfRule>
  </conditionalFormatting>
  <conditionalFormatting sqref="W2:W84">
    <cfRule type="containsText" dxfId="17" priority="4" operator="containsText" text="bajo">
      <formula>NOT(ISERROR(SEARCH("bajo",W2)))</formula>
    </cfRule>
    <cfRule type="containsText" dxfId="16" priority="3" operator="containsText" text="bajo">
      <formula>NOT(ISERROR(SEARCH("bajo",W2)))</formula>
    </cfRule>
    <cfRule type="containsText" dxfId="15" priority="2" operator="containsText" text="bajo">
      <formula>NOT(ISERROR(SEARCH("bajo",W2)))</formula>
    </cfRule>
  </conditionalFormatting>
  <conditionalFormatting sqref="W56:W84">
    <cfRule type="containsText" dxfId="7" priority="1" operator="containsText" text="alto">
      <formula>NOT(ISERROR(SEARCH("alto",W56)))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workbookViewId="0">
      <selection sqref="A1:A33"/>
    </sheetView>
  </sheetViews>
  <sheetFormatPr baseColWidth="10" defaultRowHeight="15" x14ac:dyDescent="0.25"/>
  <sheetData>
    <row r="1" spans="1:1" x14ac:dyDescent="0.25">
      <c r="A1" s="1">
        <v>0</v>
      </c>
    </row>
    <row r="2" spans="1:1" x14ac:dyDescent="0.25">
      <c r="A2" s="1">
        <v>0</v>
      </c>
    </row>
    <row r="3" spans="1:1" x14ac:dyDescent="0.25">
      <c r="A3" s="1">
        <v>0</v>
      </c>
    </row>
    <row r="4" spans="1:1" x14ac:dyDescent="0.25">
      <c r="A4" s="1">
        <v>0</v>
      </c>
    </row>
    <row r="5" spans="1:1" x14ac:dyDescent="0.25">
      <c r="A5" s="1">
        <v>0</v>
      </c>
    </row>
    <row r="6" spans="1:1" x14ac:dyDescent="0.25">
      <c r="A6" s="1">
        <v>0</v>
      </c>
    </row>
    <row r="7" spans="1:1" x14ac:dyDescent="0.25">
      <c r="A7" s="1">
        <v>0</v>
      </c>
    </row>
    <row r="8" spans="1:1" x14ac:dyDescent="0.25">
      <c r="A8" s="1">
        <v>0</v>
      </c>
    </row>
    <row r="9" spans="1:1" x14ac:dyDescent="0.25">
      <c r="A9" s="1">
        <v>0</v>
      </c>
    </row>
    <row r="10" spans="1:1" x14ac:dyDescent="0.25">
      <c r="A10" s="1">
        <v>0</v>
      </c>
    </row>
    <row r="11" spans="1:1" x14ac:dyDescent="0.25">
      <c r="A11" s="1">
        <v>0</v>
      </c>
    </row>
    <row r="12" spans="1:1" x14ac:dyDescent="0.25">
      <c r="A12" s="1">
        <v>0</v>
      </c>
    </row>
    <row r="13" spans="1:1" x14ac:dyDescent="0.25">
      <c r="A13" s="1">
        <v>0</v>
      </c>
    </row>
    <row r="14" spans="1:1" x14ac:dyDescent="0.25">
      <c r="A14" s="1">
        <v>0</v>
      </c>
    </row>
    <row r="15" spans="1:1" x14ac:dyDescent="0.25">
      <c r="A15" s="1">
        <v>0</v>
      </c>
    </row>
    <row r="16" spans="1:1" x14ac:dyDescent="0.25">
      <c r="A16" s="1">
        <v>0</v>
      </c>
    </row>
    <row r="17" spans="1:1" x14ac:dyDescent="0.25">
      <c r="A17" s="1">
        <v>0</v>
      </c>
    </row>
    <row r="18" spans="1:1" x14ac:dyDescent="0.25">
      <c r="A18" s="1">
        <v>0</v>
      </c>
    </row>
    <row r="19" spans="1:1" x14ac:dyDescent="0.25">
      <c r="A19" s="1">
        <v>0</v>
      </c>
    </row>
    <row r="20" spans="1:1" x14ac:dyDescent="0.25">
      <c r="A20" s="1">
        <v>0</v>
      </c>
    </row>
    <row r="21" spans="1:1" x14ac:dyDescent="0.25">
      <c r="A21" s="1">
        <v>0</v>
      </c>
    </row>
    <row r="22" spans="1:1" x14ac:dyDescent="0.25">
      <c r="A22" s="1">
        <v>0</v>
      </c>
    </row>
    <row r="23" spans="1:1" x14ac:dyDescent="0.25">
      <c r="A23" s="1">
        <v>0</v>
      </c>
    </row>
    <row r="24" spans="1:1" x14ac:dyDescent="0.25">
      <c r="A24" s="1">
        <v>0</v>
      </c>
    </row>
    <row r="25" spans="1:1" x14ac:dyDescent="0.25">
      <c r="A25" s="1">
        <v>0</v>
      </c>
    </row>
    <row r="26" spans="1:1" x14ac:dyDescent="0.25">
      <c r="A26" s="1">
        <v>0</v>
      </c>
    </row>
    <row r="27" spans="1:1" x14ac:dyDescent="0.25">
      <c r="A27" s="1">
        <v>0</v>
      </c>
    </row>
    <row r="28" spans="1:1" x14ac:dyDescent="0.25">
      <c r="A28" s="1">
        <v>0</v>
      </c>
    </row>
    <row r="29" spans="1:1" x14ac:dyDescent="0.25">
      <c r="A29" s="1">
        <v>0</v>
      </c>
    </row>
    <row r="30" spans="1:1" x14ac:dyDescent="0.25">
      <c r="A30" s="1">
        <v>0</v>
      </c>
    </row>
    <row r="31" spans="1:1" x14ac:dyDescent="0.25">
      <c r="A31" s="1">
        <v>0</v>
      </c>
    </row>
    <row r="32" spans="1:1" x14ac:dyDescent="0.25">
      <c r="A32" s="1">
        <v>0</v>
      </c>
    </row>
    <row r="33" spans="1:1" x14ac:dyDescent="0.25">
      <c r="A3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Reporte-Ventas-EvolucionPorClie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TRABAJO</cp:lastModifiedBy>
  <dcterms:created xsi:type="dcterms:W3CDTF">2025-12-27T20:25:07Z</dcterms:created>
  <dcterms:modified xsi:type="dcterms:W3CDTF">2025-12-29T21:23:26Z</dcterms:modified>
</cp:coreProperties>
</file>